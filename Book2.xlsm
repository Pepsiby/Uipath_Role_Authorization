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44389\Desktop\"/>
    </mc:Choice>
  </mc:AlternateContent>
  <xr:revisionPtr revIDLastSave="0" documentId="13_ncr:1_{BEB9ACD1-3F46-4C45-87EA-6704B6336830}" xr6:coauthVersionLast="47" xr6:coauthVersionMax="47" xr10:uidLastSave="{00000000-0000-0000-0000-000000000000}"/>
  <bookViews>
    <workbookView xWindow="-108" yWindow="-108" windowWidth="23256" windowHeight="12456" activeTab="2" xr2:uid="{4FD9C39E-C607-44AB-8EEE-866E02E443F3}"/>
  </bookViews>
  <sheets>
    <sheet name="PlantList" sheetId="7" r:id="rId1"/>
    <sheet name="Plant_Branch" sheetId="9" r:id="rId2"/>
    <sheet name="UserNotFound" sheetId="13" r:id="rId3"/>
    <sheet name="Test" sheetId="12" r:id="rId4"/>
    <sheet name="Sheet1" sheetId="1" r:id="rId5"/>
    <sheet name="Final" sheetId="2" r:id="rId6"/>
    <sheet name="Plant" sheetId="6" r:id="rId7"/>
    <sheet name="Paste" sheetId="10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3" i="2" l="1"/>
  <c r="D83" i="2" s="1"/>
  <c r="C17" i="9"/>
  <c r="C18" i="9"/>
  <c r="C19" i="9"/>
  <c r="C20" i="9"/>
  <c r="C21" i="9"/>
  <c r="C22" i="9"/>
  <c r="C23" i="9"/>
  <c r="C24" i="9"/>
  <c r="C25" i="9"/>
  <c r="C26" i="9"/>
  <c r="C27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A18" i="9"/>
  <c r="B18" i="2" s="1"/>
  <c r="A19" i="9"/>
  <c r="A20" i="9"/>
  <c r="B20" i="2" s="1"/>
  <c r="C20" i="10" s="1"/>
  <c r="A21" i="9"/>
  <c r="B21" i="2" s="1"/>
  <c r="C21" i="10" s="1"/>
  <c r="A22" i="9"/>
  <c r="B22" i="2" s="1"/>
  <c r="C22" i="10" s="1"/>
  <c r="B22" i="10" s="1"/>
  <c r="A23" i="9"/>
  <c r="B23" i="2" s="1"/>
  <c r="C23" i="10" s="1"/>
  <c r="A24" i="9"/>
  <c r="B24" i="2" s="1"/>
  <c r="C24" i="10" s="1"/>
  <c r="B24" i="10" s="1"/>
  <c r="A25" i="9"/>
  <c r="A26" i="9"/>
  <c r="B26" i="2" s="1"/>
  <c r="C26" i="10" s="1"/>
  <c r="C31" i="9"/>
  <c r="C32" i="9"/>
  <c r="C33" i="9"/>
  <c r="C34" i="9"/>
  <c r="C35" i="9"/>
  <c r="C36" i="9"/>
  <c r="C37" i="9"/>
  <c r="B33" i="9"/>
  <c r="B34" i="9"/>
  <c r="B35" i="9"/>
  <c r="B36" i="9"/>
  <c r="B37" i="9"/>
  <c r="A33" i="9"/>
  <c r="B33" i="2" s="1"/>
  <c r="C33" i="10" s="1"/>
  <c r="A34" i="9"/>
  <c r="B34" i="2" s="1"/>
  <c r="C34" i="10" s="1"/>
  <c r="B34" i="10" s="1"/>
  <c r="A35" i="9"/>
  <c r="B35" i="2" s="1"/>
  <c r="C35" i="10" s="1"/>
  <c r="B35" i="10" s="1"/>
  <c r="A36" i="9"/>
  <c r="B36" i="2" s="1"/>
  <c r="C36" i="10" s="1"/>
  <c r="B36" i="10" s="1"/>
  <c r="A37" i="9"/>
  <c r="B37" i="2" s="1"/>
  <c r="C37" i="10" s="1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28" i="9"/>
  <c r="C29" i="9"/>
  <c r="C30" i="9"/>
  <c r="B32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A58" i="2" s="1"/>
  <c r="A58" i="10" s="1"/>
  <c r="B59" i="9"/>
  <c r="B60" i="9"/>
  <c r="B61" i="9"/>
  <c r="B62" i="9"/>
  <c r="B63" i="9"/>
  <c r="B64" i="9"/>
  <c r="B65" i="9"/>
  <c r="B66" i="9"/>
  <c r="A66" i="2" s="1"/>
  <c r="A66" i="10" s="1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29" i="9"/>
  <c r="B30" i="9"/>
  <c r="B31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A32" i="9"/>
  <c r="B32" i="2" s="1"/>
  <c r="C32" i="10" s="1"/>
  <c r="A38" i="9"/>
  <c r="B38" i="2" s="1"/>
  <c r="C38" i="10" s="1"/>
  <c r="A39" i="9"/>
  <c r="B39" i="2" s="1"/>
  <c r="C39" i="10" s="1"/>
  <c r="A40" i="9"/>
  <c r="B40" i="2" s="1"/>
  <c r="C40" i="10" s="1"/>
  <c r="A41" i="9"/>
  <c r="B41" i="2" s="1"/>
  <c r="C41" i="10" s="1"/>
  <c r="A42" i="9"/>
  <c r="B42" i="2" s="1"/>
  <c r="C42" i="10" s="1"/>
  <c r="B42" i="10" s="1"/>
  <c r="A43" i="9"/>
  <c r="B43" i="2" s="1"/>
  <c r="C43" i="10" s="1"/>
  <c r="B43" i="10" s="1"/>
  <c r="A44" i="9"/>
  <c r="B44" i="2" s="1"/>
  <c r="C44" i="10" s="1"/>
  <c r="B44" i="10" s="1"/>
  <c r="A45" i="9"/>
  <c r="B45" i="2" s="1"/>
  <c r="C45" i="10" s="1"/>
  <c r="A46" i="9"/>
  <c r="B46" i="2" s="1"/>
  <c r="C46" i="10" s="1"/>
  <c r="B46" i="10" s="1"/>
  <c r="A47" i="9"/>
  <c r="B47" i="2" s="1"/>
  <c r="C47" i="10" s="1"/>
  <c r="A48" i="9"/>
  <c r="B48" i="2" s="1"/>
  <c r="C48" i="10" s="1"/>
  <c r="A49" i="9"/>
  <c r="B49" i="2" s="1"/>
  <c r="C49" i="10" s="1"/>
  <c r="A50" i="9"/>
  <c r="B50" i="2" s="1"/>
  <c r="C50" i="10" s="1"/>
  <c r="B50" i="10" s="1"/>
  <c r="A51" i="9"/>
  <c r="B51" i="2" s="1"/>
  <c r="C51" i="10" s="1"/>
  <c r="B51" i="10" s="1"/>
  <c r="A52" i="9"/>
  <c r="B52" i="2" s="1"/>
  <c r="C52" i="10" s="1"/>
  <c r="B52" i="10" s="1"/>
  <c r="A53" i="9"/>
  <c r="B53" i="2" s="1"/>
  <c r="C53" i="10" s="1"/>
  <c r="A54" i="9"/>
  <c r="B54" i="2" s="1"/>
  <c r="C54" i="10" s="1"/>
  <c r="B54" i="10" s="1"/>
  <c r="A55" i="9"/>
  <c r="B55" i="2" s="1"/>
  <c r="C55" i="10" s="1"/>
  <c r="A56" i="9"/>
  <c r="B56" i="2" s="1"/>
  <c r="C56" i="10" s="1"/>
  <c r="B56" i="10" s="1"/>
  <c r="A57" i="9"/>
  <c r="B57" i="2" s="1"/>
  <c r="C57" i="10" s="1"/>
  <c r="A58" i="9"/>
  <c r="B58" i="2" s="1"/>
  <c r="C58" i="10" s="1"/>
  <c r="B58" i="10" s="1"/>
  <c r="A59" i="9"/>
  <c r="B59" i="2" s="1"/>
  <c r="C59" i="10" s="1"/>
  <c r="A60" i="9"/>
  <c r="B60" i="2" s="1"/>
  <c r="C60" i="10" s="1"/>
  <c r="B60" i="10" s="1"/>
  <c r="A61" i="9"/>
  <c r="B61" i="2" s="1"/>
  <c r="C61" i="10" s="1"/>
  <c r="A62" i="9"/>
  <c r="B62" i="2" s="1"/>
  <c r="C62" i="10" s="1"/>
  <c r="A63" i="9"/>
  <c r="B63" i="2" s="1"/>
  <c r="C63" i="10" s="1"/>
  <c r="A64" i="9"/>
  <c r="B64" i="2" s="1"/>
  <c r="C64" i="10" s="1"/>
  <c r="B64" i="10" s="1"/>
  <c r="A65" i="9"/>
  <c r="B65" i="2" s="1"/>
  <c r="C65" i="10" s="1"/>
  <c r="B65" i="10" s="1"/>
  <c r="A66" i="9"/>
  <c r="B66" i="2" s="1"/>
  <c r="C66" i="10" s="1"/>
  <c r="B66" i="10" s="1"/>
  <c r="A67" i="9"/>
  <c r="B67" i="2" s="1"/>
  <c r="C67" i="10" s="1"/>
  <c r="A68" i="9"/>
  <c r="B68" i="2" s="1"/>
  <c r="C68" i="10" s="1"/>
  <c r="B68" i="10" s="1"/>
  <c r="A69" i="9"/>
  <c r="B69" i="2" s="1"/>
  <c r="C69" i="10" s="1"/>
  <c r="A70" i="9"/>
  <c r="B70" i="2" s="1"/>
  <c r="C70" i="10" s="1"/>
  <c r="B70" i="10" s="1"/>
  <c r="A71" i="9"/>
  <c r="B71" i="2" s="1"/>
  <c r="C71" i="10" s="1"/>
  <c r="A72" i="9"/>
  <c r="B72" i="2" s="1"/>
  <c r="C72" i="10" s="1"/>
  <c r="B72" i="10" s="1"/>
  <c r="A73" i="9"/>
  <c r="B73" i="2" s="1"/>
  <c r="C73" i="10" s="1"/>
  <c r="B73" i="10" s="1"/>
  <c r="A74" i="9"/>
  <c r="B74" i="2" s="1"/>
  <c r="C74" i="10" s="1"/>
  <c r="B74" i="10" s="1"/>
  <c r="A75" i="9"/>
  <c r="B75" i="2" s="1"/>
  <c r="C75" i="10" s="1"/>
  <c r="B75" i="10" s="1"/>
  <c r="A76" i="9"/>
  <c r="B76" i="2" s="1"/>
  <c r="C76" i="10" s="1"/>
  <c r="B76" i="10" s="1"/>
  <c r="A77" i="9"/>
  <c r="B77" i="2" s="1"/>
  <c r="C77" i="10" s="1"/>
  <c r="A78" i="9"/>
  <c r="B78" i="2" s="1"/>
  <c r="C78" i="10" s="1"/>
  <c r="B78" i="10" s="1"/>
  <c r="A79" i="9"/>
  <c r="B79" i="2" s="1"/>
  <c r="C79" i="10" s="1"/>
  <c r="A80" i="9"/>
  <c r="B80" i="2" s="1"/>
  <c r="C80" i="10" s="1"/>
  <c r="B80" i="10" s="1"/>
  <c r="A81" i="9"/>
  <c r="B81" i="2" s="1"/>
  <c r="C81" i="10" s="1"/>
  <c r="B81" i="10" s="1"/>
  <c r="A82" i="9"/>
  <c r="B82" i="2" s="1"/>
  <c r="C82" i="10" s="1"/>
  <c r="B82" i="10" s="1"/>
  <c r="A83" i="9"/>
  <c r="B83" i="2" s="1"/>
  <c r="C83" i="10" s="1"/>
  <c r="D83" i="10" s="1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" i="9"/>
  <c r="A4" i="9"/>
  <c r="B4" i="2" s="1"/>
  <c r="A5" i="9"/>
  <c r="B5" i="2" s="1"/>
  <c r="A6" i="9"/>
  <c r="B6" i="2" s="1"/>
  <c r="A7" i="9"/>
  <c r="B7" i="2" s="1"/>
  <c r="A8" i="9"/>
  <c r="B8" i="2" s="1"/>
  <c r="A9" i="9"/>
  <c r="A10" i="9"/>
  <c r="A11" i="9"/>
  <c r="A12" i="9"/>
  <c r="B12" i="2" s="1"/>
  <c r="A13" i="9"/>
  <c r="B13" i="2" s="1"/>
  <c r="A14" i="9"/>
  <c r="A15" i="9"/>
  <c r="B15" i="2" s="1"/>
  <c r="A16" i="9"/>
  <c r="A17" i="9"/>
  <c r="B17" i="2" s="1"/>
  <c r="B19" i="2"/>
  <c r="C19" i="10" s="1"/>
  <c r="B25" i="2"/>
  <c r="C25" i="10" s="1"/>
  <c r="A27" i="9"/>
  <c r="B27" i="2" s="1"/>
  <c r="C27" i="10" s="1"/>
  <c r="B27" i="10" s="1"/>
  <c r="A28" i="9"/>
  <c r="B28" i="2" s="1"/>
  <c r="C28" i="10" s="1"/>
  <c r="A29" i="9"/>
  <c r="B29" i="2" s="1"/>
  <c r="C29" i="10" s="1"/>
  <c r="A30" i="9"/>
  <c r="B30" i="2" s="1"/>
  <c r="C30" i="10" s="1"/>
  <c r="A31" i="9"/>
  <c r="B31" i="2" s="1"/>
  <c r="C31" i="10" s="1"/>
  <c r="B31" i="10" s="1"/>
  <c r="A2" i="9"/>
  <c r="C51" i="2"/>
  <c r="D51" i="2" s="1"/>
  <c r="C52" i="2"/>
  <c r="D52" i="2" s="1"/>
  <c r="C53" i="2"/>
  <c r="D53" i="2" s="1"/>
  <c r="C54" i="2"/>
  <c r="D54" i="2" s="1"/>
  <c r="C55" i="2"/>
  <c r="D55" i="2" s="1"/>
  <c r="C56" i="2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C71" i="2"/>
  <c r="D71" i="2" s="1"/>
  <c r="C72" i="2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C81" i="2"/>
  <c r="D81" i="2" s="1"/>
  <c r="C82" i="2"/>
  <c r="D82" i="2" s="1"/>
  <c r="A3" i="7"/>
  <c r="F4" i="1" s="1"/>
  <c r="A4" i="7"/>
  <c r="F5" i="1" s="1"/>
  <c r="A5" i="7"/>
  <c r="F6" i="1" s="1"/>
  <c r="A6" i="7"/>
  <c r="F7" i="1" s="1"/>
  <c r="A7" i="7"/>
  <c r="F8" i="1" s="1"/>
  <c r="A8" i="7"/>
  <c r="F9" i="1" s="1"/>
  <c r="A9" i="7"/>
  <c r="F10" i="1" s="1"/>
  <c r="B9" i="7" s="1"/>
  <c r="C9" i="7" s="1"/>
  <c r="A10" i="7"/>
  <c r="F11" i="1" s="1"/>
  <c r="B10" i="7" s="1"/>
  <c r="C10" i="7" s="1"/>
  <c r="A11" i="7"/>
  <c r="A12" i="7"/>
  <c r="F13" i="1" s="1"/>
  <c r="A13" i="7"/>
  <c r="A14" i="7"/>
  <c r="A15" i="7"/>
  <c r="F16" i="1" s="1"/>
  <c r="A16" i="7"/>
  <c r="A17" i="7"/>
  <c r="F18" i="1" s="1"/>
  <c r="B17" i="7" s="1"/>
  <c r="C17" i="7" s="1"/>
  <c r="D17" i="7" s="1"/>
  <c r="A18" i="7"/>
  <c r="F19" i="1" s="1"/>
  <c r="B18" i="7" s="1"/>
  <c r="C18" i="7" s="1"/>
  <c r="A19" i="7"/>
  <c r="A20" i="7"/>
  <c r="F21" i="1" s="1"/>
  <c r="A21" i="7"/>
  <c r="F22" i="1" s="1"/>
  <c r="A22" i="7"/>
  <c r="A23" i="7"/>
  <c r="F24" i="1" s="1"/>
  <c r="B23" i="7" s="1"/>
  <c r="C23" i="7" s="1"/>
  <c r="A24" i="7"/>
  <c r="A25" i="7"/>
  <c r="F26" i="1" s="1"/>
  <c r="B25" i="7" s="1"/>
  <c r="C25" i="7" s="1"/>
  <c r="A26" i="7"/>
  <c r="A27" i="7"/>
  <c r="A28" i="7"/>
  <c r="A29" i="7"/>
  <c r="A30" i="7"/>
  <c r="A31" i="7"/>
  <c r="A32" i="7"/>
  <c r="A33" i="7"/>
  <c r="F34" i="1" s="1"/>
  <c r="A34" i="7"/>
  <c r="A35" i="7"/>
  <c r="A36" i="7"/>
  <c r="A37" i="7"/>
  <c r="F38" i="1" s="1"/>
  <c r="A38" i="7"/>
  <c r="A39" i="7"/>
  <c r="F40" i="1" s="1"/>
  <c r="A40" i="7"/>
  <c r="A41" i="7"/>
  <c r="F42" i="1" s="1"/>
  <c r="B41" i="7" s="1"/>
  <c r="C41" i="7" s="1"/>
  <c r="A42" i="7"/>
  <c r="F43" i="1" s="1"/>
  <c r="B42" i="7" s="1"/>
  <c r="C42" i="7" s="1"/>
  <c r="A43" i="7"/>
  <c r="A44" i="7"/>
  <c r="F45" i="1" s="1"/>
  <c r="A45" i="7"/>
  <c r="F46" i="1" s="1"/>
  <c r="A46" i="7"/>
  <c r="A47" i="7"/>
  <c r="F48" i="1" s="1"/>
  <c r="A48" i="7"/>
  <c r="F49" i="1" s="1"/>
  <c r="B48" i="7" s="1"/>
  <c r="C48" i="7" s="1"/>
  <c r="A49" i="7"/>
  <c r="A50" i="7"/>
  <c r="F51" i="1" s="1"/>
  <c r="B50" i="7" s="1"/>
  <c r="C50" i="7" s="1"/>
  <c r="A2" i="7"/>
  <c r="F3" i="1" s="1"/>
  <c r="K1" i="9"/>
  <c r="C3" i="1"/>
  <c r="D3" i="1" s="1"/>
  <c r="C4" i="1"/>
  <c r="D4" i="1" s="1"/>
  <c r="C5" i="1"/>
  <c r="D5" i="1" s="1"/>
  <c r="C6" i="1"/>
  <c r="D6" i="1" s="1"/>
  <c r="C7" i="1"/>
  <c r="D7" i="1" s="1"/>
  <c r="C8" i="1"/>
  <c r="D8" i="1" s="1"/>
  <c r="C9" i="1"/>
  <c r="D9" i="1" s="1"/>
  <c r="C10" i="1"/>
  <c r="D10" i="1" s="1"/>
  <c r="C11" i="1"/>
  <c r="D11" i="1" s="1"/>
  <c r="C12" i="1"/>
  <c r="D12" i="1" s="1"/>
  <c r="C13" i="1"/>
  <c r="D13" i="1" s="1"/>
  <c r="C14" i="1"/>
  <c r="D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C21" i="1"/>
  <c r="D21" i="1" s="1"/>
  <c r="C22" i="1"/>
  <c r="D22" i="1" s="1"/>
  <c r="C23" i="1"/>
  <c r="D23" i="1" s="1"/>
  <c r="C24" i="1"/>
  <c r="D24" i="1" s="1"/>
  <c r="C25" i="1"/>
  <c r="D25" i="1" s="1"/>
  <c r="E25" i="1"/>
  <c r="C26" i="1"/>
  <c r="D26" i="1" s="1"/>
  <c r="E26" i="1"/>
  <c r="C27" i="1"/>
  <c r="D27" i="1" s="1"/>
  <c r="E27" i="1"/>
  <c r="C28" i="1"/>
  <c r="D28" i="1" s="1"/>
  <c r="C29" i="1"/>
  <c r="D29" i="1" s="1"/>
  <c r="C30" i="1"/>
  <c r="D30" i="1" s="1"/>
  <c r="C31" i="1"/>
  <c r="C32" i="1"/>
  <c r="C33" i="1"/>
  <c r="C34" i="1"/>
  <c r="C35" i="1"/>
  <c r="C36" i="1"/>
  <c r="C37" i="1"/>
  <c r="C38" i="1"/>
  <c r="C39" i="1"/>
  <c r="F52" i="1"/>
  <c r="F53" i="1"/>
  <c r="F54" i="1"/>
  <c r="F55" i="1"/>
  <c r="AA2" i="2"/>
  <c r="AB2" i="2"/>
  <c r="T22" i="2"/>
  <c r="U22" i="2"/>
  <c r="V22" i="2"/>
  <c r="W22" i="2"/>
  <c r="X22" i="2"/>
  <c r="Y22" i="2"/>
  <c r="Z22" i="2"/>
  <c r="C271" i="2"/>
  <c r="D271" i="2" s="1"/>
  <c r="C272" i="2"/>
  <c r="D272" i="2" s="1"/>
  <c r="C273" i="2"/>
  <c r="D273" i="2" s="1"/>
  <c r="C274" i="2"/>
  <c r="D274" i="2" s="1"/>
  <c r="C275" i="2"/>
  <c r="D275" i="2" s="1"/>
  <c r="C276" i="2"/>
  <c r="D276" i="2" s="1"/>
  <c r="C277" i="2"/>
  <c r="D277" i="2" s="1"/>
  <c r="C278" i="2"/>
  <c r="D278" i="2" s="1"/>
  <c r="C279" i="2"/>
  <c r="D279" i="2" s="1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H2" i="6"/>
  <c r="I2" i="6" s="1"/>
  <c r="H3" i="6"/>
  <c r="I3" i="6" s="1"/>
  <c r="H4" i="6"/>
  <c r="I4" i="6" s="1"/>
  <c r="H5" i="6"/>
  <c r="I5" i="6" s="1"/>
  <c r="H6" i="6"/>
  <c r="I6" i="6" s="1"/>
  <c r="H7" i="6"/>
  <c r="I7" i="6" s="1"/>
  <c r="H8" i="6"/>
  <c r="I8" i="6" s="1"/>
  <c r="H9" i="6"/>
  <c r="I9" i="6" s="1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A83" i="2" l="1"/>
  <c r="A83" i="10" s="1"/>
  <c r="D77" i="10"/>
  <c r="A67" i="2"/>
  <c r="A67" i="10" s="1"/>
  <c r="A59" i="2"/>
  <c r="A59" i="10" s="1"/>
  <c r="A56" i="2"/>
  <c r="A56" i="10" s="1"/>
  <c r="D63" i="10"/>
  <c r="D55" i="10"/>
  <c r="D79" i="10"/>
  <c r="D71" i="10"/>
  <c r="D62" i="10"/>
  <c r="D69" i="10"/>
  <c r="D61" i="10"/>
  <c r="D53" i="10"/>
  <c r="D67" i="10"/>
  <c r="D59" i="10"/>
  <c r="D57" i="10"/>
  <c r="D82" i="10"/>
  <c r="D74" i="10"/>
  <c r="D66" i="10"/>
  <c r="D58" i="10"/>
  <c r="D81" i="10"/>
  <c r="D73" i="10"/>
  <c r="D65" i="10"/>
  <c r="D80" i="10"/>
  <c r="D72" i="10"/>
  <c r="D64" i="10"/>
  <c r="D56" i="10"/>
  <c r="A78" i="2"/>
  <c r="A78" i="10" s="1"/>
  <c r="A70" i="2"/>
  <c r="A70" i="10" s="1"/>
  <c r="A62" i="2"/>
  <c r="A62" i="10" s="1"/>
  <c r="D78" i="10"/>
  <c r="D70" i="10"/>
  <c r="D54" i="10"/>
  <c r="D76" i="10"/>
  <c r="D68" i="10"/>
  <c r="D60" i="10"/>
  <c r="D52" i="10"/>
  <c r="D75" i="10"/>
  <c r="D51" i="10"/>
  <c r="A60" i="2"/>
  <c r="A60" i="10" s="1"/>
  <c r="A72" i="2"/>
  <c r="A72" i="10" s="1"/>
  <c r="A34" i="2"/>
  <c r="A34" i="10" s="1"/>
  <c r="A80" i="2"/>
  <c r="A80" i="10" s="1"/>
  <c r="A64" i="2"/>
  <c r="A64" i="10" s="1"/>
  <c r="A65" i="2"/>
  <c r="A65" i="10" s="1"/>
  <c r="A81" i="2"/>
  <c r="A81" i="10" s="1"/>
  <c r="A73" i="2"/>
  <c r="A73" i="10" s="1"/>
  <c r="A57" i="2"/>
  <c r="A57" i="10" s="1"/>
  <c r="A76" i="2"/>
  <c r="A76" i="10" s="1"/>
  <c r="A68" i="2"/>
  <c r="A68" i="10" s="1"/>
  <c r="A61" i="2"/>
  <c r="A61" i="10" s="1"/>
  <c r="A79" i="2"/>
  <c r="A79" i="10" s="1"/>
  <c r="A75" i="2"/>
  <c r="A75" i="10" s="1"/>
  <c r="A71" i="2"/>
  <c r="A71" i="10" s="1"/>
  <c r="A63" i="2"/>
  <c r="A63" i="10" s="1"/>
  <c r="A55" i="2"/>
  <c r="A55" i="10" s="1"/>
  <c r="A77" i="2"/>
  <c r="A77" i="10" s="1"/>
  <c r="A69" i="2"/>
  <c r="A69" i="10" s="1"/>
  <c r="A82" i="2"/>
  <c r="A82" i="10" s="1"/>
  <c r="A74" i="2"/>
  <c r="A74" i="10" s="1"/>
  <c r="A50" i="2"/>
  <c r="A50" i="10" s="1"/>
  <c r="A42" i="2"/>
  <c r="A42" i="10" s="1"/>
  <c r="A47" i="2"/>
  <c r="A47" i="10" s="1"/>
  <c r="A19" i="2"/>
  <c r="A19" i="10" s="1"/>
  <c r="B83" i="10"/>
  <c r="A46" i="2"/>
  <c r="A46" i="10" s="1"/>
  <c r="A43" i="2"/>
  <c r="A43" i="10" s="1"/>
  <c r="A40" i="2"/>
  <c r="A40" i="10" s="1"/>
  <c r="A39" i="2"/>
  <c r="A39" i="10" s="1"/>
  <c r="A54" i="2"/>
  <c r="A54" i="10" s="1"/>
  <c r="A48" i="2"/>
  <c r="A48" i="10" s="1"/>
  <c r="A38" i="2"/>
  <c r="A38" i="10" s="1"/>
  <c r="B62" i="10"/>
  <c r="A41" i="2"/>
  <c r="A41" i="10" s="1"/>
  <c r="B30" i="10"/>
  <c r="B71" i="10"/>
  <c r="B63" i="10"/>
  <c r="B59" i="10"/>
  <c r="B38" i="10"/>
  <c r="B67" i="10"/>
  <c r="B57" i="10"/>
  <c r="B41" i="10"/>
  <c r="B48" i="10"/>
  <c r="B40" i="10"/>
  <c r="B32" i="10"/>
  <c r="B33" i="10"/>
  <c r="B61" i="10"/>
  <c r="B53" i="10"/>
  <c r="B37" i="10"/>
  <c r="B49" i="10"/>
  <c r="B69" i="10"/>
  <c r="B45" i="10"/>
  <c r="B79" i="10"/>
  <c r="B77" i="10"/>
  <c r="B39" i="10"/>
  <c r="B55" i="10"/>
  <c r="B47" i="10"/>
  <c r="B29" i="10"/>
  <c r="B23" i="10"/>
  <c r="B28" i="10"/>
  <c r="B19" i="10"/>
  <c r="B20" i="10"/>
  <c r="B21" i="10"/>
  <c r="B26" i="10"/>
  <c r="B25" i="10"/>
  <c r="A32" i="2"/>
  <c r="A32" i="10" s="1"/>
  <c r="A6" i="2"/>
  <c r="A6" i="10" s="1"/>
  <c r="A5" i="2"/>
  <c r="A5" i="10" s="1"/>
  <c r="A12" i="2"/>
  <c r="A12" i="10" s="1"/>
  <c r="A4" i="2"/>
  <c r="A4" i="10" s="1"/>
  <c r="A3" i="2"/>
  <c r="A3" i="10" s="1"/>
  <c r="A33" i="2"/>
  <c r="A33" i="10" s="1"/>
  <c r="A52" i="2"/>
  <c r="A52" i="10" s="1"/>
  <c r="A44" i="2"/>
  <c r="A44" i="10" s="1"/>
  <c r="A49" i="2"/>
  <c r="A49" i="10" s="1"/>
  <c r="D80" i="2"/>
  <c r="D70" i="2"/>
  <c r="B33" i="7"/>
  <c r="C33" i="7" s="1"/>
  <c r="D33" i="7" s="1"/>
  <c r="E33" i="7" s="1"/>
  <c r="C33" i="2" s="1"/>
  <c r="D33" i="10" s="1"/>
  <c r="A51" i="2"/>
  <c r="A51" i="10" s="1"/>
  <c r="A27" i="2"/>
  <c r="A27" i="10" s="1"/>
  <c r="B39" i="7"/>
  <c r="C39" i="7" s="1"/>
  <c r="D39" i="7" s="1"/>
  <c r="E39" i="7" s="1"/>
  <c r="C39" i="2" s="1"/>
  <c r="D39" i="10" s="1"/>
  <c r="A53" i="2"/>
  <c r="A53" i="10" s="1"/>
  <c r="A45" i="2"/>
  <c r="A45" i="10" s="1"/>
  <c r="D72" i="2"/>
  <c r="D56" i="2"/>
  <c r="A37" i="2"/>
  <c r="A37" i="10" s="1"/>
  <c r="A36" i="2"/>
  <c r="A36" i="10" s="1"/>
  <c r="A35" i="2"/>
  <c r="A35" i="10" s="1"/>
  <c r="A31" i="2"/>
  <c r="A31" i="10" s="1"/>
  <c r="A11" i="2"/>
  <c r="A11" i="10" s="1"/>
  <c r="A8" i="2"/>
  <c r="A8" i="10" s="1"/>
  <c r="A13" i="2"/>
  <c r="A13" i="10" s="1"/>
  <c r="A10" i="2"/>
  <c r="A10" i="10" s="1"/>
  <c r="A25" i="2"/>
  <c r="A25" i="10" s="1"/>
  <c r="A17" i="2"/>
  <c r="A17" i="10" s="1"/>
  <c r="A9" i="2"/>
  <c r="A9" i="10" s="1"/>
  <c r="A30" i="2"/>
  <c r="A30" i="10" s="1"/>
  <c r="A28" i="2"/>
  <c r="A28" i="10" s="1"/>
  <c r="A7" i="2"/>
  <c r="A7" i="10" s="1"/>
  <c r="A16" i="2"/>
  <c r="A16" i="10" s="1"/>
  <c r="A15" i="2"/>
  <c r="A15" i="10" s="1"/>
  <c r="A14" i="2"/>
  <c r="A14" i="10" s="1"/>
  <c r="A29" i="2"/>
  <c r="A29" i="10" s="1"/>
  <c r="B3" i="7"/>
  <c r="C3" i="7" s="1"/>
  <c r="D3" i="7" s="1"/>
  <c r="E3" i="7" s="1"/>
  <c r="C3" i="2" s="1"/>
  <c r="A20" i="2"/>
  <c r="A20" i="10" s="1"/>
  <c r="F12" i="1"/>
  <c r="B11" i="7" s="1"/>
  <c r="C11" i="7" s="1"/>
  <c r="A22" i="2"/>
  <c r="A22" i="10" s="1"/>
  <c r="B45" i="7"/>
  <c r="C45" i="7" s="1"/>
  <c r="D45" i="7" s="1"/>
  <c r="E45" i="7" s="1"/>
  <c r="C45" i="2" s="1"/>
  <c r="D45" i="10" s="1"/>
  <c r="B44" i="7"/>
  <c r="C44" i="7" s="1"/>
  <c r="D44" i="7" s="1"/>
  <c r="E44" i="7" s="1"/>
  <c r="C44" i="2" s="1"/>
  <c r="D44" i="10" s="1"/>
  <c r="B15" i="7"/>
  <c r="C15" i="7" s="1"/>
  <c r="D15" i="7" s="1"/>
  <c r="E15" i="7" s="1"/>
  <c r="C15" i="2" s="1"/>
  <c r="D15" i="2" s="1"/>
  <c r="A24" i="2"/>
  <c r="A24" i="10" s="1"/>
  <c r="F37" i="1"/>
  <c r="B36" i="7" s="1"/>
  <c r="C36" i="7" s="1"/>
  <c r="D36" i="7" s="1"/>
  <c r="E36" i="7" s="1"/>
  <c r="C36" i="2" s="1"/>
  <c r="D36" i="10" s="1"/>
  <c r="A18" i="2"/>
  <c r="A18" i="10" s="1"/>
  <c r="B37" i="7"/>
  <c r="C37" i="7" s="1"/>
  <c r="D37" i="7" s="1"/>
  <c r="E37" i="7" s="1"/>
  <c r="C37" i="2" s="1"/>
  <c r="D37" i="10" s="1"/>
  <c r="A21" i="2"/>
  <c r="A21" i="10" s="1"/>
  <c r="A26" i="2"/>
  <c r="A26" i="10" s="1"/>
  <c r="B21" i="7"/>
  <c r="C21" i="7" s="1"/>
  <c r="D21" i="7" s="1"/>
  <c r="E21" i="7" s="1"/>
  <c r="C21" i="2" s="1"/>
  <c r="D21" i="2" s="1"/>
  <c r="F20" i="1"/>
  <c r="B19" i="7" s="1"/>
  <c r="C19" i="7" s="1"/>
  <c r="D19" i="7" s="1"/>
  <c r="E19" i="7" s="1"/>
  <c r="C18" i="10"/>
  <c r="C17" i="10"/>
  <c r="A23" i="2"/>
  <c r="A23" i="10" s="1"/>
  <c r="B16" i="2"/>
  <c r="C16" i="10" s="1"/>
  <c r="B8" i="7"/>
  <c r="C8" i="7" s="1"/>
  <c r="D8" i="7" s="1"/>
  <c r="B7" i="7"/>
  <c r="C7" i="7" s="1"/>
  <c r="D7" i="7" s="1"/>
  <c r="E7" i="7" s="1"/>
  <c r="C8" i="10"/>
  <c r="B12" i="7"/>
  <c r="C12" i="7" s="1"/>
  <c r="D12" i="7" s="1"/>
  <c r="B6" i="7"/>
  <c r="C6" i="7" s="1"/>
  <c r="D6" i="7" s="1"/>
  <c r="E6" i="7" s="1"/>
  <c r="C6" i="2" s="1"/>
  <c r="D6" i="2" s="1"/>
  <c r="B10" i="2"/>
  <c r="C10" i="10" s="1"/>
  <c r="B3" i="2"/>
  <c r="C3" i="10" s="1"/>
  <c r="C15" i="10"/>
  <c r="C7" i="10"/>
  <c r="B5" i="7"/>
  <c r="C5" i="7" s="1"/>
  <c r="D5" i="7" s="1"/>
  <c r="E5" i="7" s="1"/>
  <c r="C5" i="2" s="1"/>
  <c r="D5" i="2" s="1"/>
  <c r="B14" i="2"/>
  <c r="C14" i="10" s="1"/>
  <c r="C13" i="10"/>
  <c r="B9" i="2"/>
  <c r="C9" i="10" s="1"/>
  <c r="B4" i="7"/>
  <c r="C4" i="7" s="1"/>
  <c r="D4" i="7" s="1"/>
  <c r="E4" i="7" s="1"/>
  <c r="C4" i="2" s="1"/>
  <c r="D4" i="2" s="1"/>
  <c r="C12" i="10"/>
  <c r="B11" i="2"/>
  <c r="C11" i="10" s="1"/>
  <c r="D18" i="7"/>
  <c r="E18" i="7" s="1"/>
  <c r="C18" i="2" s="1"/>
  <c r="D18" i="2" s="1"/>
  <c r="E17" i="7"/>
  <c r="D42" i="7"/>
  <c r="E42" i="7" s="1"/>
  <c r="C42" i="2" s="1"/>
  <c r="D42" i="10" s="1"/>
  <c r="D41" i="7"/>
  <c r="E41" i="7" s="1"/>
  <c r="C41" i="2" s="1"/>
  <c r="D41" i="10" s="1"/>
  <c r="D25" i="7"/>
  <c r="E25" i="7" s="1"/>
  <c r="C25" i="2" s="1"/>
  <c r="D25" i="2" s="1"/>
  <c r="D10" i="7"/>
  <c r="E10" i="7" s="1"/>
  <c r="C10" i="2" s="1"/>
  <c r="D9" i="7"/>
  <c r="E9" i="7" s="1"/>
  <c r="C9" i="2" s="1"/>
  <c r="D23" i="7"/>
  <c r="E23" i="7" s="1"/>
  <c r="C23" i="2" s="1"/>
  <c r="D23" i="2" s="1"/>
  <c r="F17" i="1"/>
  <c r="B16" i="7" s="1"/>
  <c r="C16" i="7" s="1"/>
  <c r="F29" i="1"/>
  <c r="B28" i="7" s="1"/>
  <c r="C28" i="7" s="1"/>
  <c r="B20" i="7"/>
  <c r="C20" i="7" s="1"/>
  <c r="F25" i="1"/>
  <c r="B24" i="7" s="1"/>
  <c r="C24" i="7" s="1"/>
  <c r="D50" i="7"/>
  <c r="E50" i="7" s="1"/>
  <c r="C50" i="2" s="1"/>
  <c r="D50" i="10" s="1"/>
  <c r="D48" i="7"/>
  <c r="E48" i="7" s="1"/>
  <c r="C48" i="2" s="1"/>
  <c r="D48" i="10" s="1"/>
  <c r="B47" i="7"/>
  <c r="C47" i="7" s="1"/>
  <c r="F47" i="1"/>
  <c r="B46" i="7" s="1"/>
  <c r="C46" i="7" s="1"/>
  <c r="F35" i="1"/>
  <c r="B34" i="7" s="1"/>
  <c r="C34" i="7" s="1"/>
  <c r="F32" i="1"/>
  <c r="B31" i="7" s="1"/>
  <c r="C31" i="7" s="1"/>
  <c r="F23" i="1"/>
  <c r="B22" i="7" s="1"/>
  <c r="C22" i="7" s="1"/>
  <c r="F15" i="1"/>
  <c r="B14" i="7" s="1"/>
  <c r="C14" i="7" s="1"/>
  <c r="F39" i="1"/>
  <c r="B38" i="7" s="1"/>
  <c r="C38" i="7" s="1"/>
  <c r="F31" i="1"/>
  <c r="B30" i="7" s="1"/>
  <c r="C30" i="7" s="1"/>
  <c r="F44" i="1"/>
  <c r="B43" i="7" s="1"/>
  <c r="C43" i="7" s="1"/>
  <c r="F36" i="1"/>
  <c r="B35" i="7" s="1"/>
  <c r="C35" i="7" s="1"/>
  <c r="F41" i="1"/>
  <c r="B40" i="7" s="1"/>
  <c r="C40" i="7" s="1"/>
  <c r="F33" i="1"/>
  <c r="B32" i="7" s="1"/>
  <c r="C32" i="7" s="1"/>
  <c r="F50" i="1"/>
  <c r="B49" i="7" s="1"/>
  <c r="C49" i="7" s="1"/>
  <c r="A2" i="2"/>
  <c r="C5" i="10"/>
  <c r="C4" i="10"/>
  <c r="C6" i="10"/>
  <c r="B2" i="2"/>
  <c r="F28" i="1"/>
  <c r="B27" i="7" s="1"/>
  <c r="C27" i="7" s="1"/>
  <c r="F27" i="1"/>
  <c r="B26" i="7" s="1"/>
  <c r="C26" i="7" s="1"/>
  <c r="F14" i="1"/>
  <c r="B13" i="7" s="1"/>
  <c r="C13" i="7" s="1"/>
  <c r="B2" i="7"/>
  <c r="C2" i="7" s="1"/>
  <c r="D2" i="7" s="1"/>
  <c r="F30" i="1"/>
  <c r="B29" i="7" s="1"/>
  <c r="C29" i="7" s="1"/>
  <c r="D4" i="10" l="1"/>
  <c r="D6" i="10"/>
  <c r="D23" i="10"/>
  <c r="D3" i="10"/>
  <c r="D5" i="10"/>
  <c r="D10" i="10"/>
  <c r="D9" i="10"/>
  <c r="D18" i="10"/>
  <c r="D21" i="10"/>
  <c r="D15" i="10"/>
  <c r="D25" i="10"/>
  <c r="D10" i="2"/>
  <c r="D9" i="2"/>
  <c r="B12" i="10"/>
  <c r="B3" i="10"/>
  <c r="B6" i="10"/>
  <c r="B10" i="10"/>
  <c r="B17" i="10"/>
  <c r="B15" i="10"/>
  <c r="B4" i="10"/>
  <c r="B16" i="10"/>
  <c r="B9" i="10"/>
  <c r="B18" i="10"/>
  <c r="B5" i="10"/>
  <c r="B13" i="10"/>
  <c r="B11" i="10"/>
  <c r="B14" i="10"/>
  <c r="B8" i="10"/>
  <c r="B7" i="10"/>
  <c r="D36" i="2"/>
  <c r="D39" i="2"/>
  <c r="D33" i="2"/>
  <c r="D11" i="7"/>
  <c r="E11" i="7" s="1"/>
  <c r="C11" i="2" s="1"/>
  <c r="D11" i="10" s="1"/>
  <c r="D41" i="2"/>
  <c r="D48" i="2"/>
  <c r="E8" i="7"/>
  <c r="C8" i="2" s="1"/>
  <c r="D8" i="2" s="1"/>
  <c r="D37" i="2"/>
  <c r="D50" i="2"/>
  <c r="D45" i="2"/>
  <c r="D3" i="2"/>
  <c r="D42" i="2"/>
  <c r="D44" i="2"/>
  <c r="C19" i="2"/>
  <c r="D19" i="10" s="1"/>
  <c r="C17" i="2"/>
  <c r="D17" i="2" s="1"/>
  <c r="C7" i="2"/>
  <c r="D7" i="2" s="1"/>
  <c r="E12" i="7"/>
  <c r="C12" i="2" s="1"/>
  <c r="D12" i="2" s="1"/>
  <c r="D13" i="7"/>
  <c r="E13" i="7" s="1"/>
  <c r="C13" i="2" s="1"/>
  <c r="D13" i="2" s="1"/>
  <c r="D32" i="7"/>
  <c r="E32" i="7" s="1"/>
  <c r="C32" i="2" s="1"/>
  <c r="D32" i="10" s="1"/>
  <c r="D40" i="7"/>
  <c r="E40" i="7" s="1"/>
  <c r="C40" i="2" s="1"/>
  <c r="D40" i="10" s="1"/>
  <c r="D30" i="7"/>
  <c r="E30" i="7" s="1"/>
  <c r="C30" i="2" s="1"/>
  <c r="D30" i="10" s="1"/>
  <c r="D38" i="7"/>
  <c r="E38" i="7" s="1"/>
  <c r="C38" i="2" s="1"/>
  <c r="D38" i="10" s="1"/>
  <c r="D29" i="7"/>
  <c r="E29" i="7" s="1"/>
  <c r="C29" i="2" s="1"/>
  <c r="D29" i="10" s="1"/>
  <c r="D22" i="7"/>
  <c r="E22" i="7" s="1"/>
  <c r="C22" i="2" s="1"/>
  <c r="D22" i="10" s="1"/>
  <c r="D28" i="7"/>
  <c r="E28" i="7" s="1"/>
  <c r="C28" i="2" s="1"/>
  <c r="D28" i="10" s="1"/>
  <c r="D35" i="7"/>
  <c r="E35" i="7" s="1"/>
  <c r="C35" i="2" s="1"/>
  <c r="D35" i="10" s="1"/>
  <c r="D24" i="7"/>
  <c r="E24" i="7" s="1"/>
  <c r="D14" i="7"/>
  <c r="E14" i="7" s="1"/>
  <c r="C14" i="2" s="1"/>
  <c r="D14" i="2" s="1"/>
  <c r="D31" i="7"/>
  <c r="E31" i="7" s="1"/>
  <c r="C31" i="2" s="1"/>
  <c r="D31" i="10" s="1"/>
  <c r="D16" i="7"/>
  <c r="E16" i="7" s="1"/>
  <c r="C16" i="2" s="1"/>
  <c r="D16" i="2" s="1"/>
  <c r="D34" i="7"/>
  <c r="E34" i="7" s="1"/>
  <c r="C34" i="2" s="1"/>
  <c r="D34" i="10" s="1"/>
  <c r="D43" i="7"/>
  <c r="E43" i="7" s="1"/>
  <c r="C43" i="2" s="1"/>
  <c r="D43" i="10" s="1"/>
  <c r="D20" i="7"/>
  <c r="E20" i="7" s="1"/>
  <c r="C20" i="2" s="1"/>
  <c r="D20" i="10" s="1"/>
  <c r="D27" i="7"/>
  <c r="E27" i="7" s="1"/>
  <c r="C27" i="2" s="1"/>
  <c r="D27" i="10" s="1"/>
  <c r="D26" i="7"/>
  <c r="E26" i="7" s="1"/>
  <c r="C26" i="2" s="1"/>
  <c r="D26" i="10" s="1"/>
  <c r="D46" i="7"/>
  <c r="E46" i="7" s="1"/>
  <c r="C46" i="2" s="1"/>
  <c r="D46" i="10" s="1"/>
  <c r="D47" i="7"/>
  <c r="E47" i="7" s="1"/>
  <c r="C47" i="2" s="1"/>
  <c r="D47" i="10" s="1"/>
  <c r="D49" i="7"/>
  <c r="E49" i="7" s="1"/>
  <c r="C49" i="2" s="1"/>
  <c r="D49" i="10" s="1"/>
  <c r="C2" i="10"/>
  <c r="E2" i="7"/>
  <c r="C2" i="2" s="1"/>
  <c r="D2" i="2" s="1"/>
  <c r="D8" i="10" l="1"/>
  <c r="D14" i="10"/>
  <c r="D13" i="10"/>
  <c r="D12" i="10"/>
  <c r="D16" i="10"/>
  <c r="D17" i="10"/>
  <c r="D2" i="10"/>
  <c r="D7" i="10"/>
  <c r="D20" i="2"/>
  <c r="D19" i="2"/>
  <c r="B2" i="10"/>
  <c r="D27" i="2"/>
  <c r="D32" i="2"/>
  <c r="D46" i="2"/>
  <c r="D31" i="2"/>
  <c r="D29" i="2"/>
  <c r="D47" i="2"/>
  <c r="D38" i="2"/>
  <c r="D11" i="2"/>
  <c r="D35" i="2"/>
  <c r="D30" i="2"/>
  <c r="D43" i="2"/>
  <c r="D28" i="2"/>
  <c r="D40" i="2"/>
  <c r="D49" i="2"/>
  <c r="D34" i="2"/>
  <c r="D22" i="2"/>
  <c r="C24" i="2"/>
  <c r="D24" i="10" s="1"/>
  <c r="D26" i="2"/>
  <c r="D24" i="2" l="1"/>
  <c r="A2" i="10"/>
</calcChain>
</file>

<file path=xl/sharedStrings.xml><?xml version="1.0" encoding="utf-8"?>
<sst xmlns="http://schemas.openxmlformats.org/spreadsheetml/2006/main" count="79" uniqueCount="25">
  <si>
    <t>User</t>
  </si>
  <si>
    <t>Name</t>
  </si>
  <si>
    <t>CubeName</t>
  </si>
  <si>
    <t>Plant</t>
  </si>
  <si>
    <t>Role</t>
  </si>
  <si>
    <t>Depart N</t>
  </si>
  <si>
    <t>HANA Branch</t>
  </si>
  <si>
    <t>PT</t>
  </si>
  <si>
    <t>ปทุมธานี ไม่มีแผนกขาย</t>
  </si>
  <si>
    <t>แผนกขาย 1 ปทุมธานี</t>
  </si>
  <si>
    <t>แผนกขาย 2 ปทุมธานี</t>
  </si>
  <si>
    <t>แผนกขาย 3 ปทุมธานี</t>
  </si>
  <si>
    <t>แผนกขาย 4 ปทุมธานี</t>
  </si>
  <si>
    <t>แผนกขาย 5 ปทุมธานี</t>
  </si>
  <si>
    <t>KR</t>
  </si>
  <si>
    <t>แผนกขาย 1 โคราช</t>
  </si>
  <si>
    <t>แผนกขาย 2 โคราช</t>
  </si>
  <si>
    <t>NS</t>
  </si>
  <si>
    <t>แผนกขาย 1 นครสวรรค์</t>
  </si>
  <si>
    <t>แผนกขาย 2 นครสวรรค์</t>
  </si>
  <si>
    <t>SR</t>
  </si>
  <si>
    <t>แผนกขาย 1 สุราษฎร์ธานี</t>
  </si>
  <si>
    <t>Cube1</t>
  </si>
  <si>
    <t>Cube2</t>
  </si>
  <si>
    <t>Role1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</si>
</sst>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scheme val="minor"/>
    </font>
    <font>
      <sz val="10"/>
      <color theme="1"/>
      <name val="Times New Roman"/>
      <family val="1"/>
    </font>
    <font>
      <b/>
      <sz val="9"/>
      <color rgb="FFFFFFFF"/>
      <name val="Tahoma"/>
      <family val="2"/>
    </font>
    <font>
      <b/>
      <sz val="9"/>
      <color theme="1"/>
      <name val="Tahoma"/>
      <family val="2"/>
    </font>
    <font>
      <sz val="8"/>
      <name val="Tahoma"/>
      <family val="2"/>
      <charset val="222"/>
      <scheme val="minor"/>
    </font>
    <font>
      <sz val="11"/>
      <color rgb="FF000000"/>
      <name val="Tahoma"/>
      <family val="2"/>
    </font>
    <font>
      <sz val="8"/>
      <color rgb="FFFFFFFF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rgb="FFDCE6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0" fillId="2" borderId="1" xfId="0" applyFill="1" applyBorder="1"/>
    <xf numFmtId="0" fontId="0" fillId="2" borderId="0" xfId="0" applyFill="1"/>
    <xf numFmtId="0" fontId="4" fillId="0" borderId="1" xfId="1" applyFont="1" applyBorder="1" applyAlignment="1">
      <alignment vertical="center"/>
    </xf>
    <xf numFmtId="0" fontId="2" fillId="0" borderId="1" xfId="1" applyFont="1" applyBorder="1"/>
    <xf numFmtId="0" fontId="3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0" fillId="0" borderId="1" xfId="0" applyBorder="1" applyAlignment="1">
      <alignment horizontal="left"/>
    </xf>
    <xf numFmtId="0" fontId="4" fillId="4" borderId="2" xfId="0" applyFont="1" applyFill="1" applyBorder="1" applyAlignment="1">
      <alignment vertical="center"/>
    </xf>
    <xf numFmtId="2" fontId="0" fillId="0" borderId="0" xfId="0" applyNumberFormat="1"/>
    <xf numFmtId="0" fontId="6" fillId="0" borderId="0" xfId="0" applyFont="1"/>
    <xf numFmtId="0" fontId="7" fillId="0" borderId="0" xfId="0" applyFont="1"/>
  </cellXfs>
  <cellStyles count="2">
    <cellStyle name="Normal" xfId="0" builtinId="0"/>
    <cellStyle name="Normal 2" xfId="1" xr:uid="{661B8BB6-F5FC-4031-A1A3-A380C07D9AC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9E71C-9B54-4DD9-B6A8-73D95663E2E3}">
  <sheetPr codeName="Sheet4"/>
  <dimension ref="A2:E50"/>
  <sheetViews>
    <sheetView workbookViewId="0">
      <selection activeCell="A19" sqref="A19"/>
    </sheetView>
  </sheetViews>
  <sheetFormatPr defaultRowHeight="13.8" x14ac:dyDescent="0.25"/>
  <cols>
    <col min="1" max="1" width="67.19921875" bestFit="1" customWidth="1"/>
    <col min="2" max="2" width="9.19921875" customWidth="1"/>
    <col min="3" max="3" width="8.796875" style="9" customWidth="1"/>
  </cols>
  <sheetData>
    <row r="2" spans="1:5" x14ac:dyDescent="0.25">
      <c r="A2" t="str">
        <f>IF(Test!A2="","",Test!A2)</f>
        <v/>
      </c>
      <c r="B2" t="str">
        <f>IF(A2="โรงงาน","",Sheet1!F3)</f>
        <v/>
      </c>
      <c r="C2" t="str">
        <f t="shared" ref="C2" si="0">IFERROR(VALUE(B2)," ")</f>
        <v xml:space="preserve"> </v>
      </c>
      <c r="D2" t="str">
        <f>IFERROR(INDEX(Plant!$A$2:$A$55, MATCH(C2, Plant!C$2:$C$55, 0)), "")</f>
        <v/>
      </c>
      <c r="E2" t="str">
        <f t="shared" ref="E2" si="1">IF(C2="","",IF(D2="","",D2 &amp; "-" &amp; C2))</f>
        <v/>
      </c>
    </row>
    <row r="3" spans="1:5" x14ac:dyDescent="0.25">
      <c r="A3" t="str">
        <f>IF(Test!A3="","",Test!A3)</f>
        <v/>
      </c>
      <c r="B3" t="str">
        <f>IF(A3="โรงงาน","",Sheet1!F4)</f>
        <v/>
      </c>
      <c r="C3" t="str">
        <f t="shared" ref="C3:C44" si="2">IFERROR(VALUE(B3)," ")</f>
        <v xml:space="preserve"> </v>
      </c>
      <c r="D3" t="str">
        <f>IFERROR(INDEX(Plant!$A$2:$A$55, MATCH(C3, Plant!C$2:$C$55, 0)), "")</f>
        <v/>
      </c>
      <c r="E3" t="str">
        <f t="shared" ref="E3:E44" si="3">IF(C3="","",IF(D3="","",D3 &amp; "-" &amp; C3))</f>
        <v/>
      </c>
    </row>
    <row r="4" spans="1:5" x14ac:dyDescent="0.25">
      <c r="A4" t="str">
        <f>IF(Test!A4="","",Test!A4)</f>
        <v/>
      </c>
      <c r="B4" t="str">
        <f>IF(A4="โรงงาน","",Sheet1!F5)</f>
        <v/>
      </c>
      <c r="C4" t="str">
        <f t="shared" si="2"/>
        <v xml:space="preserve"> </v>
      </c>
      <c r="D4" t="str">
        <f>IFERROR(INDEX(Plant!$A$2:$A$55, MATCH(C4, Plant!C$2:$C$55, 0)), "")</f>
        <v/>
      </c>
      <c r="E4" t="str">
        <f t="shared" si="3"/>
        <v/>
      </c>
    </row>
    <row r="5" spans="1:5" x14ac:dyDescent="0.25">
      <c r="A5" t="str">
        <f>IF(Test!A5="","",Test!A5)</f>
        <v/>
      </c>
      <c r="B5" t="str">
        <f>IF(A5="โรงงาน","",Sheet1!F6)</f>
        <v/>
      </c>
      <c r="C5" t="str">
        <f t="shared" si="2"/>
        <v xml:space="preserve"> </v>
      </c>
      <c r="D5" t="str">
        <f>IFERROR(INDEX(Plant!$A$2:$A$55, MATCH(C5, Plant!C$2:$C$55, 0)), "")</f>
        <v/>
      </c>
      <c r="E5" t="str">
        <f t="shared" si="3"/>
        <v/>
      </c>
    </row>
    <row r="6" spans="1:5" x14ac:dyDescent="0.25">
      <c r="A6" t="str">
        <f>IF(Test!A6="","",Test!A6)</f>
        <v/>
      </c>
      <c r="B6" t="str">
        <f>IF(A6="โรงงาน","",Sheet1!F7)</f>
        <v/>
      </c>
      <c r="C6" t="str">
        <f t="shared" si="2"/>
        <v xml:space="preserve"> </v>
      </c>
      <c r="D6" t="str">
        <f>IFERROR(INDEX(Plant!$A$2:$A$55, MATCH(C6, Plant!C$2:$C$55, 0)), "")</f>
        <v/>
      </c>
      <c r="E6" t="str">
        <f t="shared" si="3"/>
        <v/>
      </c>
    </row>
    <row r="7" spans="1:5" x14ac:dyDescent="0.25">
      <c r="A7" t="str">
        <f>IF(Test!A7="","",Test!A7)</f>
        <v/>
      </c>
      <c r="B7" t="str">
        <f>IF(A7="โรงงาน","",Sheet1!F8)</f>
        <v/>
      </c>
      <c r="C7" t="str">
        <f t="shared" si="2"/>
        <v xml:space="preserve"> </v>
      </c>
      <c r="D7" t="str">
        <f>IFERROR(INDEX(Plant!$A$2:$A$55, MATCH(C7, Plant!C$2:$C$55, 0)), "")</f>
        <v/>
      </c>
      <c r="E7" t="str">
        <f t="shared" si="3"/>
        <v/>
      </c>
    </row>
    <row r="8" spans="1:5" x14ac:dyDescent="0.25">
      <c r="A8" t="str">
        <f>IF(Test!A8="","",Test!A8)</f>
        <v/>
      </c>
      <c r="B8" t="str">
        <f>IF(A8="โรงงาน","",Sheet1!F9)</f>
        <v/>
      </c>
      <c r="C8" t="str">
        <f t="shared" si="2"/>
        <v xml:space="preserve"> </v>
      </c>
      <c r="D8" t="str">
        <f>IFERROR(INDEX(Plant!$A$2:$A$55, MATCH(C8, Plant!C$2:$C$55, 0)), "")</f>
        <v/>
      </c>
      <c r="E8" t="str">
        <f t="shared" si="3"/>
        <v/>
      </c>
    </row>
    <row r="9" spans="1:5" x14ac:dyDescent="0.25">
      <c r="A9" t="str">
        <f>IF(Test!A9="","",Test!A9)</f>
        <v/>
      </c>
      <c r="B9" t="str">
        <f>IF(A9="โรงงาน","",Sheet1!F10)</f>
        <v/>
      </c>
      <c r="C9" t="str">
        <f t="shared" si="2"/>
        <v xml:space="preserve"> </v>
      </c>
      <c r="D9" t="str">
        <f>IFERROR(INDEX(Plant!$A$2:$A$55, MATCH(C9, Plant!C$2:$C$55, 0)), "")</f>
        <v/>
      </c>
      <c r="E9" t="str">
        <f t="shared" si="3"/>
        <v/>
      </c>
    </row>
    <row r="10" spans="1:5" x14ac:dyDescent="0.25">
      <c r="A10" t="str">
        <f>IF(Test!A10="","",Test!A10)</f>
        <v/>
      </c>
      <c r="B10" t="str">
        <f>IF(A10="โรงงาน","",Sheet1!F11)</f>
        <v/>
      </c>
      <c r="C10" t="str">
        <f t="shared" si="2"/>
        <v xml:space="preserve"> </v>
      </c>
      <c r="D10" t="str">
        <f>IFERROR(INDEX(Plant!$A$2:$A$55, MATCH(C10, Plant!C$2:$C$55, 0)), "")</f>
        <v/>
      </c>
      <c r="E10" t="str">
        <f t="shared" si="3"/>
        <v/>
      </c>
    </row>
    <row r="11" spans="1:5" x14ac:dyDescent="0.25">
      <c r="A11" t="str">
        <f>IF(Test!A11="","",Test!A11)</f>
        <v/>
      </c>
      <c r="B11" t="str">
        <f>IF(A11="โรงงาน","",Sheet1!F12)</f>
        <v/>
      </c>
      <c r="C11" t="str">
        <f t="shared" si="2"/>
        <v xml:space="preserve"> </v>
      </c>
      <c r="D11" t="str">
        <f>IFERROR(INDEX(Plant!$A$2:$A$55, MATCH(C11, Plant!C$2:$C$55, 0)), "")</f>
        <v/>
      </c>
      <c r="E11" t="str">
        <f t="shared" si="3"/>
        <v/>
      </c>
    </row>
    <row r="12" spans="1:5" x14ac:dyDescent="0.25">
      <c r="A12" t="str">
        <f>IF(Test!A12="","",Test!A12)</f>
        <v/>
      </c>
      <c r="B12" t="str">
        <f>IF(A12="โรงงาน","",Sheet1!F13)</f>
        <v/>
      </c>
      <c r="C12" t="str">
        <f t="shared" si="2"/>
        <v xml:space="preserve"> </v>
      </c>
      <c r="D12" t="str">
        <f>IFERROR(INDEX(Plant!$A$2:$A$55, MATCH(C12, Plant!C$2:$C$55, 0)), "")</f>
        <v/>
      </c>
      <c r="E12" t="str">
        <f t="shared" si="3"/>
        <v/>
      </c>
    </row>
    <row r="13" spans="1:5" x14ac:dyDescent="0.25">
      <c r="A13" t="str">
        <f>IF(Test!A13="","",Test!A13)</f>
        <v/>
      </c>
      <c r="B13" t="str">
        <f>IF(A13="โรงงาน","",Sheet1!F14)</f>
        <v/>
      </c>
      <c r="C13" t="str">
        <f t="shared" si="2"/>
        <v xml:space="preserve"> </v>
      </c>
      <c r="D13" t="str">
        <f>IFERROR(INDEX(Plant!$A$2:$A$55, MATCH(C13, Plant!C$2:$C$55, 0)), "")</f>
        <v/>
      </c>
      <c r="E13" t="str">
        <f t="shared" si="3"/>
        <v/>
      </c>
    </row>
    <row r="14" spans="1:5" x14ac:dyDescent="0.25">
      <c r="A14" t="str">
        <f>IF(Test!A14="","",Test!A14)</f>
        <v/>
      </c>
      <c r="B14" t="str">
        <f>IF(A14="โรงงาน","",Sheet1!F15)</f>
        <v/>
      </c>
      <c r="C14" t="str">
        <f t="shared" si="2"/>
        <v xml:space="preserve"> </v>
      </c>
      <c r="D14" t="str">
        <f>IFERROR(INDEX(Plant!$A$2:$A$55, MATCH(C14, Plant!C$2:$C$55, 0)), "")</f>
        <v/>
      </c>
      <c r="E14" t="str">
        <f t="shared" si="3"/>
        <v/>
      </c>
    </row>
    <row r="15" spans="1:5" x14ac:dyDescent="0.25">
      <c r="A15" t="str">
        <f>IF(Test!A15="","",Test!A15)</f>
        <v/>
      </c>
      <c r="B15" t="str">
        <f>IF(A15="โรงงาน","",Sheet1!F16)</f>
        <v/>
      </c>
      <c r="C15" t="str">
        <f t="shared" si="2"/>
        <v xml:space="preserve"> </v>
      </c>
      <c r="D15" t="str">
        <f>IFERROR(INDEX(Plant!$A$2:$A$55, MATCH(C15, Plant!C$2:$C$55, 0)), "")</f>
        <v/>
      </c>
      <c r="E15" t="str">
        <f t="shared" si="3"/>
        <v/>
      </c>
    </row>
    <row r="16" spans="1:5" x14ac:dyDescent="0.25">
      <c r="A16" t="str">
        <f>IF(Test!A16="","",Test!A16)</f>
        <v/>
      </c>
      <c r="B16" t="str">
        <f>IF(A16="โรงงาน","",Sheet1!F17)</f>
        <v/>
      </c>
      <c r="C16" t="str">
        <f t="shared" si="2"/>
        <v xml:space="preserve"> </v>
      </c>
      <c r="D16" t="str">
        <f>IFERROR(INDEX(Plant!$A$2:$A$55, MATCH(C16, Plant!C$2:$C$55, 0)), "")</f>
        <v/>
      </c>
      <c r="E16" t="str">
        <f t="shared" si="3"/>
        <v/>
      </c>
    </row>
    <row r="17" spans="1:5" x14ac:dyDescent="0.25">
      <c r="A17" t="str">
        <f>IF(Test!A17="","",Test!A17)</f>
        <v/>
      </c>
      <c r="B17" t="str">
        <f>IF(A17="โรงงาน","",Sheet1!F18)</f>
        <v/>
      </c>
      <c r="C17" t="str">
        <f t="shared" si="2"/>
        <v xml:space="preserve"> </v>
      </c>
      <c r="D17" t="str">
        <f>IFERROR(INDEX(Plant!$A$2:$A$55, MATCH(C17, Plant!C$2:$C$55, 0)), "")</f>
        <v/>
      </c>
      <c r="E17" t="str">
        <f t="shared" si="3"/>
        <v/>
      </c>
    </row>
    <row r="18" spans="1:5" x14ac:dyDescent="0.25">
      <c r="A18" t="str">
        <f>IF(Test!A18="","",Test!A18)</f>
        <v/>
      </c>
      <c r="B18" t="str">
        <f>IF(A18="โรงงาน","",Sheet1!F19)</f>
        <v/>
      </c>
      <c r="C18" t="str">
        <f t="shared" si="2"/>
        <v xml:space="preserve"> </v>
      </c>
      <c r="D18" t="str">
        <f>IFERROR(INDEX(Plant!$A$2:$A$55, MATCH(C18, Plant!C$2:$C$55, 0)), "")</f>
        <v/>
      </c>
      <c r="E18" t="str">
        <f t="shared" si="3"/>
        <v/>
      </c>
    </row>
    <row r="19" spans="1:5" x14ac:dyDescent="0.25">
      <c r="A19" t="str">
        <f>IF(Test!A19="","",Test!A19)</f>
        <v/>
      </c>
      <c r="B19" t="str">
        <f>IF(A19="โรงงาน","",Sheet1!F20)</f>
        <v/>
      </c>
      <c r="C19" t="str">
        <f t="shared" si="2"/>
        <v xml:space="preserve"> </v>
      </c>
      <c r="D19" t="str">
        <f>IFERROR(INDEX(Plant!$A$2:$A$55, MATCH(C19, Plant!C$2:$C$55, 0)), "")</f>
        <v/>
      </c>
      <c r="E19" t="str">
        <f t="shared" si="3"/>
        <v/>
      </c>
    </row>
    <row r="20" spans="1:5" x14ac:dyDescent="0.25">
      <c r="A20" t="str">
        <f>IF(Test!A20="","",Test!A20)</f>
        <v/>
      </c>
      <c r="B20" t="str">
        <f>IF(A20="โรงงาน","",Sheet1!F21)</f>
        <v/>
      </c>
      <c r="C20" t="str">
        <f t="shared" si="2"/>
        <v xml:space="preserve"> </v>
      </c>
      <c r="D20" t="str">
        <f>IFERROR(INDEX(Plant!$A$2:$A$55, MATCH(C20, Plant!C$2:$C$55, 0)), "")</f>
        <v/>
      </c>
      <c r="E20" t="str">
        <f t="shared" si="3"/>
        <v/>
      </c>
    </row>
    <row r="21" spans="1:5" x14ac:dyDescent="0.25">
      <c r="A21" t="str">
        <f>IF(Test!A21="","",Test!A21)</f>
        <v/>
      </c>
      <c r="B21" t="str">
        <f>IF(A21="โรงงาน","",Sheet1!F22)</f>
        <v/>
      </c>
      <c r="C21" t="str">
        <f t="shared" si="2"/>
        <v xml:space="preserve"> </v>
      </c>
      <c r="D21" t="str">
        <f>IFERROR(INDEX(Plant!$A$2:$A$55, MATCH(C21, Plant!C$2:$C$55, 0)), "")</f>
        <v/>
      </c>
      <c r="E21" t="str">
        <f t="shared" si="3"/>
        <v/>
      </c>
    </row>
    <row r="22" spans="1:5" x14ac:dyDescent="0.25">
      <c r="A22" t="str">
        <f>IF(Test!A22="","",Test!A22)</f>
        <v/>
      </c>
      <c r="B22" t="str">
        <f>IF(A22="โรงงาน","",Sheet1!F23)</f>
        <v/>
      </c>
      <c r="C22" t="str">
        <f t="shared" si="2"/>
        <v xml:space="preserve"> </v>
      </c>
      <c r="D22" t="str">
        <f>IFERROR(INDEX(Plant!$A$2:$A$55, MATCH(C22, Plant!C$2:$C$55, 0)), "")</f>
        <v/>
      </c>
      <c r="E22" t="str">
        <f t="shared" si="3"/>
        <v/>
      </c>
    </row>
    <row r="23" spans="1:5" x14ac:dyDescent="0.25">
      <c r="A23" t="str">
        <f>IF(Test!A23="","",Test!A23)</f>
        <v/>
      </c>
      <c r="B23" t="str">
        <f>IF(A23="โรงงาน","",Sheet1!F24)</f>
        <v/>
      </c>
      <c r="C23" t="str">
        <f t="shared" si="2"/>
        <v xml:space="preserve"> </v>
      </c>
      <c r="D23" t="str">
        <f>IFERROR(INDEX(Plant!$A$2:$A$55, MATCH(C23, Plant!C$2:$C$55, 0)), "")</f>
        <v/>
      </c>
      <c r="E23" t="str">
        <f t="shared" si="3"/>
        <v/>
      </c>
    </row>
    <row r="24" spans="1:5" x14ac:dyDescent="0.25">
      <c r="A24" t="str">
        <f>IF(Test!A24="","",Test!A24)</f>
        <v/>
      </c>
      <c r="B24" t="str">
        <f>IF(A24="โรงงาน","",Sheet1!F25)</f>
        <v/>
      </c>
      <c r="C24" t="str">
        <f t="shared" si="2"/>
        <v xml:space="preserve"> </v>
      </c>
      <c r="D24" t="str">
        <f>IFERROR(INDEX(Plant!$A$2:$A$55, MATCH(C24, Plant!C$2:$C$55, 0)), "")</f>
        <v/>
      </c>
      <c r="E24" t="str">
        <f t="shared" si="3"/>
        <v/>
      </c>
    </row>
    <row r="25" spans="1:5" x14ac:dyDescent="0.25">
      <c r="A25" t="str">
        <f>IF(Test!A25="","",Test!A25)</f>
        <v/>
      </c>
      <c r="B25" t="str">
        <f>IF(A25="โรงงาน","",Sheet1!F26)</f>
        <v/>
      </c>
      <c r="C25" t="str">
        <f t="shared" si="2"/>
        <v xml:space="preserve"> </v>
      </c>
      <c r="D25" t="str">
        <f>IFERROR(INDEX(Plant!$A$2:$A$55, MATCH(C25, Plant!C$2:$C$55, 0)), "")</f>
        <v/>
      </c>
      <c r="E25" t="str">
        <f t="shared" si="3"/>
        <v/>
      </c>
    </row>
    <row r="26" spans="1:5" x14ac:dyDescent="0.25">
      <c r="A26" t="str">
        <f>IF(Test!A26="","",Test!A26)</f>
        <v/>
      </c>
      <c r="B26" t="str">
        <f>IF(A26="โรงงาน","",Sheet1!F27)</f>
        <v/>
      </c>
      <c r="C26" t="str">
        <f t="shared" si="2"/>
        <v xml:space="preserve"> </v>
      </c>
      <c r="D26" t="str">
        <f>IFERROR(INDEX(Plant!$A$2:$A$55, MATCH(C26, Plant!C$2:$C$55, 0)), "")</f>
        <v/>
      </c>
      <c r="E26" t="str">
        <f t="shared" si="3"/>
        <v/>
      </c>
    </row>
    <row r="27" spans="1:5" x14ac:dyDescent="0.25">
      <c r="A27" t="str">
        <f>IF(Test!A27="","",Test!A27)</f>
        <v/>
      </c>
      <c r="B27" t="str">
        <f>IF(A27="โรงงาน","",Sheet1!F28)</f>
        <v/>
      </c>
      <c r="C27" t="str">
        <f t="shared" si="2"/>
        <v xml:space="preserve"> </v>
      </c>
      <c r="D27" t="str">
        <f>IFERROR(INDEX(Plant!$A$2:$A$55, MATCH(C27, Plant!C$2:$C$55, 0)), "")</f>
        <v/>
      </c>
      <c r="E27" t="str">
        <f t="shared" si="3"/>
        <v/>
      </c>
    </row>
    <row r="28" spans="1:5" x14ac:dyDescent="0.25">
      <c r="A28" t="str">
        <f>IF(Test!A28="","",Test!A28)</f>
        <v/>
      </c>
      <c r="B28" t="str">
        <f>IF(A28="โรงงาน","",Sheet1!F29)</f>
        <v/>
      </c>
      <c r="C28" t="str">
        <f t="shared" si="2"/>
        <v xml:space="preserve"> </v>
      </c>
      <c r="D28" t="str">
        <f>IFERROR(INDEX(Plant!$A$2:$A$55, MATCH(C28, Plant!C$2:$C$55, 0)), "")</f>
        <v/>
      </c>
      <c r="E28" t="str">
        <f t="shared" si="3"/>
        <v/>
      </c>
    </row>
    <row r="29" spans="1:5" x14ac:dyDescent="0.25">
      <c r="A29" t="str">
        <f>IF(Test!A29="","",Test!A29)</f>
        <v/>
      </c>
      <c r="B29" t="str">
        <f>IF(A29="โรงงาน","",Sheet1!F30)</f>
        <v/>
      </c>
      <c r="C29" t="str">
        <f t="shared" si="2"/>
        <v xml:space="preserve"> </v>
      </c>
      <c r="D29" t="str">
        <f>IFERROR(INDEX(Plant!$A$2:$A$55, MATCH(C29, Plant!C$2:$C$55, 0)), "")</f>
        <v/>
      </c>
      <c r="E29" t="str">
        <f t="shared" si="3"/>
        <v/>
      </c>
    </row>
    <row r="30" spans="1:5" x14ac:dyDescent="0.25">
      <c r="A30" t="str">
        <f>IF(Test!A30="","",Test!A30)</f>
        <v/>
      </c>
      <c r="B30" t="str">
        <f>IF(A30="โรงงาน","",Sheet1!F31)</f>
        <v/>
      </c>
      <c r="C30" t="str">
        <f t="shared" si="2"/>
        <v xml:space="preserve"> </v>
      </c>
      <c r="D30" t="str">
        <f>IFERROR(INDEX(Plant!$A$2:$A$55, MATCH(C30, Plant!C$2:$C$55, 0)), "")</f>
        <v/>
      </c>
      <c r="E30" t="str">
        <f t="shared" si="3"/>
        <v/>
      </c>
    </row>
    <row r="31" spans="1:5" x14ac:dyDescent="0.25">
      <c r="A31" t="str">
        <f>IF(Test!A31="","",Test!A31)</f>
        <v/>
      </c>
      <c r="B31" t="str">
        <f>IF(A31="โรงงาน","",Sheet1!F32)</f>
        <v/>
      </c>
      <c r="C31" t="str">
        <f t="shared" si="2"/>
        <v xml:space="preserve"> </v>
      </c>
      <c r="D31" t="str">
        <f>IFERROR(INDEX(Plant!$A$2:$A$55, MATCH(C31, Plant!C$2:$C$55, 0)), "")</f>
        <v/>
      </c>
      <c r="E31" t="str">
        <f t="shared" si="3"/>
        <v/>
      </c>
    </row>
    <row r="32" spans="1:5" x14ac:dyDescent="0.25">
      <c r="A32" t="str">
        <f>IF(Test!A32="","",Test!A32)</f>
        <v/>
      </c>
      <c r="B32" t="str">
        <f>IF(A32="โรงงาน","",Sheet1!F33)</f>
        <v/>
      </c>
      <c r="C32" t="str">
        <f t="shared" si="2"/>
        <v xml:space="preserve"> </v>
      </c>
      <c r="D32" t="str">
        <f>IFERROR(INDEX(Plant!$A$2:$A$55, MATCH(C32, Plant!C$2:$C$55, 0)), "")</f>
        <v/>
      </c>
      <c r="E32" t="str">
        <f t="shared" si="3"/>
        <v/>
      </c>
    </row>
    <row r="33" spans="1:5" x14ac:dyDescent="0.25">
      <c r="A33" t="str">
        <f>IF(Test!A33="","",Test!A33)</f>
        <v/>
      </c>
      <c r="B33" t="str">
        <f>IF(A33="โรงงาน","",Sheet1!F34)</f>
        <v/>
      </c>
      <c r="C33" t="str">
        <f t="shared" si="2"/>
        <v xml:space="preserve"> </v>
      </c>
      <c r="D33" t="str">
        <f>IFERROR(INDEX(Plant!$A$2:$A$55, MATCH(C33, Plant!C$2:$C$55, 0)), "")</f>
        <v/>
      </c>
      <c r="E33" t="str">
        <f t="shared" si="3"/>
        <v/>
      </c>
    </row>
    <row r="34" spans="1:5" x14ac:dyDescent="0.25">
      <c r="A34" t="str">
        <f>IF(Test!A34="","",Test!A34)</f>
        <v/>
      </c>
      <c r="B34" t="str">
        <f>IF(A34="โรงงาน","",Sheet1!F35)</f>
        <v/>
      </c>
      <c r="C34" t="str">
        <f t="shared" si="2"/>
        <v xml:space="preserve"> </v>
      </c>
      <c r="D34" t="str">
        <f>IFERROR(INDEX(Plant!$A$2:$A$55, MATCH(C34, Plant!C$2:$C$55, 0)), "")</f>
        <v/>
      </c>
      <c r="E34" t="str">
        <f t="shared" si="3"/>
        <v/>
      </c>
    </row>
    <row r="35" spans="1:5" x14ac:dyDescent="0.25">
      <c r="A35" t="str">
        <f>IF(Test!A35="","",Test!A35)</f>
        <v/>
      </c>
      <c r="B35" t="str">
        <f>IF(A35="โรงงาน","",Sheet1!F36)</f>
        <v/>
      </c>
      <c r="C35" t="str">
        <f t="shared" si="2"/>
        <v xml:space="preserve"> </v>
      </c>
      <c r="D35" t="str">
        <f>IFERROR(INDEX(Plant!$A$2:$A$55, MATCH(C35, Plant!C$2:$C$55, 0)), "")</f>
        <v/>
      </c>
      <c r="E35" t="str">
        <f t="shared" si="3"/>
        <v/>
      </c>
    </row>
    <row r="36" spans="1:5" x14ac:dyDescent="0.25">
      <c r="A36" t="str">
        <f>IF(Test!A36="","",Test!A36)</f>
        <v/>
      </c>
      <c r="B36" t="str">
        <f>IF(A36="โรงงาน","",Sheet1!F37)</f>
        <v/>
      </c>
      <c r="C36" t="str">
        <f t="shared" si="2"/>
        <v xml:space="preserve"> </v>
      </c>
      <c r="D36" t="str">
        <f>IFERROR(INDEX(Plant!$A$2:$A$55, MATCH(C36, Plant!C$2:$C$55, 0)), "")</f>
        <v/>
      </c>
      <c r="E36" t="str">
        <f t="shared" si="3"/>
        <v/>
      </c>
    </row>
    <row r="37" spans="1:5" x14ac:dyDescent="0.25">
      <c r="A37" t="str">
        <f>IF(Test!A37="","",Test!A37)</f>
        <v/>
      </c>
      <c r="B37" t="str">
        <f>IF(A37="โรงงาน","",Sheet1!F38)</f>
        <v/>
      </c>
      <c r="C37" t="str">
        <f t="shared" si="2"/>
        <v xml:space="preserve"> </v>
      </c>
      <c r="D37" t="str">
        <f>IFERROR(INDEX(Plant!$A$2:$A$55, MATCH(C37, Plant!C$2:$C$55, 0)), "")</f>
        <v/>
      </c>
      <c r="E37" t="str">
        <f t="shared" si="3"/>
        <v/>
      </c>
    </row>
    <row r="38" spans="1:5" x14ac:dyDescent="0.25">
      <c r="A38" t="str">
        <f>IF(Test!A38="","",Test!A38)</f>
        <v/>
      </c>
      <c r="B38" t="str">
        <f>IF(A38="โรงงาน","",Sheet1!F39)</f>
        <v/>
      </c>
      <c r="C38" t="str">
        <f t="shared" si="2"/>
        <v xml:space="preserve"> </v>
      </c>
      <c r="D38" t="str">
        <f>IFERROR(INDEX(Plant!$A$2:$A$55, MATCH(C38, Plant!C$2:$C$55, 0)), "")</f>
        <v/>
      </c>
      <c r="E38" t="str">
        <f t="shared" si="3"/>
        <v/>
      </c>
    </row>
    <row r="39" spans="1:5" x14ac:dyDescent="0.25">
      <c r="A39" t="str">
        <f>IF(Test!A39="","",Test!A39)</f>
        <v/>
      </c>
      <c r="B39" t="str">
        <f>IF(A39="โรงงาน","",Sheet1!F40)</f>
        <v/>
      </c>
      <c r="C39" t="str">
        <f t="shared" si="2"/>
        <v xml:space="preserve"> </v>
      </c>
      <c r="D39" t="str">
        <f>IFERROR(INDEX(Plant!$A$2:$A$55, MATCH(C39, Plant!C$2:$C$55, 0)), "")</f>
        <v/>
      </c>
      <c r="E39" t="str">
        <f t="shared" si="3"/>
        <v/>
      </c>
    </row>
    <row r="40" spans="1:5" x14ac:dyDescent="0.25">
      <c r="A40" t="str">
        <f>IF(Test!A40="","",Test!A40)</f>
        <v/>
      </c>
      <c r="B40" t="str">
        <f>IF(A40="โรงงาน","",Sheet1!F41)</f>
        <v/>
      </c>
      <c r="C40" t="str">
        <f t="shared" si="2"/>
        <v xml:space="preserve"> </v>
      </c>
      <c r="D40" t="str">
        <f>IFERROR(INDEX(Plant!$A$2:$A$55, MATCH(C40, Plant!C$2:$C$55, 0)), "")</f>
        <v/>
      </c>
      <c r="E40" t="str">
        <f t="shared" si="3"/>
        <v/>
      </c>
    </row>
    <row r="41" spans="1:5" x14ac:dyDescent="0.25">
      <c r="A41" t="str">
        <f>IF(Test!A41="","",Test!A41)</f>
        <v/>
      </c>
      <c r="B41" t="str">
        <f>IF(A41="โรงงาน","",Sheet1!F42)</f>
        <v/>
      </c>
      <c r="C41" t="str">
        <f t="shared" si="2"/>
        <v xml:space="preserve"> </v>
      </c>
      <c r="D41" t="str">
        <f>IFERROR(INDEX(Plant!$A$2:$A$55, MATCH(C41, Plant!C$2:$C$55, 0)), "")</f>
        <v/>
      </c>
      <c r="E41" t="str">
        <f t="shared" si="3"/>
        <v/>
      </c>
    </row>
    <row r="42" spans="1:5" x14ac:dyDescent="0.25">
      <c r="A42" t="str">
        <f>IF(Test!A42="","",Test!A42)</f>
        <v/>
      </c>
      <c r="B42" t="str">
        <f>IF(A42="โรงงาน","",Sheet1!F43)</f>
        <v/>
      </c>
      <c r="C42" t="str">
        <f t="shared" si="2"/>
        <v xml:space="preserve"> </v>
      </c>
      <c r="D42" t="str">
        <f>IFERROR(INDEX(Plant!$A$2:$A$55, MATCH(C42, Plant!C$2:$C$55, 0)), "")</f>
        <v/>
      </c>
      <c r="E42" t="str">
        <f t="shared" si="3"/>
        <v/>
      </c>
    </row>
    <row r="43" spans="1:5" x14ac:dyDescent="0.25">
      <c r="A43" t="str">
        <f>IF(Test!A43="","",Test!A43)</f>
        <v/>
      </c>
      <c r="B43" t="str">
        <f>IF(A43="โรงงาน","",Sheet1!F44)</f>
        <v/>
      </c>
      <c r="C43" t="str">
        <f t="shared" si="2"/>
        <v xml:space="preserve"> </v>
      </c>
      <c r="D43" t="str">
        <f>IFERROR(INDEX(Plant!$A$2:$A$55, MATCH(C43, Plant!C$2:$C$55, 0)), "")</f>
        <v/>
      </c>
      <c r="E43" t="str">
        <f t="shared" si="3"/>
        <v/>
      </c>
    </row>
    <row r="44" spans="1:5" x14ac:dyDescent="0.25">
      <c r="A44" t="str">
        <f>IF(Test!A44="","",Test!A44)</f>
        <v/>
      </c>
      <c r="B44" t="str">
        <f>IF(A44="โรงงาน","",Sheet1!F45)</f>
        <v/>
      </c>
      <c r="C44" t="str">
        <f t="shared" si="2"/>
        <v xml:space="preserve"> </v>
      </c>
      <c r="D44" t="str">
        <f>IFERROR(INDEX(Plant!$A$2:$A$55, MATCH(C44, Plant!C$2:$C$55, 0)), "")</f>
        <v/>
      </c>
      <c r="E44" t="str">
        <f t="shared" si="3"/>
        <v/>
      </c>
    </row>
    <row r="45" spans="1:5" x14ac:dyDescent="0.25">
      <c r="A45" t="str">
        <f>IF(Test!A45="","",Test!A45)</f>
        <v/>
      </c>
      <c r="B45" t="str">
        <f>IF(A45="โรงงาน","",Sheet1!F46)</f>
        <v/>
      </c>
      <c r="C45" t="str">
        <f t="shared" ref="C45:C50" si="4">IFERROR(VALUE(B45)," ")</f>
        <v xml:space="preserve"> </v>
      </c>
      <c r="D45" t="str">
        <f>IFERROR(INDEX(Plant!$A$2:$A$55, MATCH(C45, Plant!C$2:$C$55, 0)), "")</f>
        <v/>
      </c>
      <c r="E45" t="str">
        <f t="shared" ref="E45:E50" si="5">IF(C45="","",IF(D45="","",D45 &amp; "-" &amp; C45))</f>
        <v/>
      </c>
    </row>
    <row r="46" spans="1:5" x14ac:dyDescent="0.25">
      <c r="A46" t="str">
        <f>IF(Test!A46="","",Test!A46)</f>
        <v/>
      </c>
      <c r="B46" t="str">
        <f>IF(A46="โรงงาน","",Sheet1!F47)</f>
        <v/>
      </c>
      <c r="C46" t="str">
        <f t="shared" si="4"/>
        <v xml:space="preserve"> </v>
      </c>
      <c r="D46" t="str">
        <f>IFERROR(INDEX(Plant!$A$2:$A$55, MATCH(C46, Plant!C$2:$C$55, 0)), "")</f>
        <v/>
      </c>
      <c r="E46" t="str">
        <f t="shared" si="5"/>
        <v/>
      </c>
    </row>
    <row r="47" spans="1:5" x14ac:dyDescent="0.25">
      <c r="A47" t="str">
        <f>IF(Test!A47="","",Test!A47)</f>
        <v/>
      </c>
      <c r="B47" t="str">
        <f>IF(A47="โรงงาน","",Sheet1!F48)</f>
        <v/>
      </c>
      <c r="C47" t="str">
        <f t="shared" si="4"/>
        <v xml:space="preserve"> </v>
      </c>
      <c r="D47" t="str">
        <f>IFERROR(INDEX(Plant!$A$2:$A$55, MATCH(C47, Plant!C$2:$C$55, 0)), "")</f>
        <v/>
      </c>
      <c r="E47" t="str">
        <f t="shared" si="5"/>
        <v/>
      </c>
    </row>
    <row r="48" spans="1:5" x14ac:dyDescent="0.25">
      <c r="A48" t="str">
        <f>IF(Test!A48="","",Test!A48)</f>
        <v/>
      </c>
      <c r="B48" t="str">
        <f>IF(A48="โรงงาน","",Sheet1!F49)</f>
        <v/>
      </c>
      <c r="C48" t="str">
        <f t="shared" si="4"/>
        <v xml:space="preserve"> </v>
      </c>
      <c r="D48" t="str">
        <f>IFERROR(INDEX(Plant!$A$2:$A$55, MATCH(C48, Plant!C$2:$C$55, 0)), "")</f>
        <v/>
      </c>
      <c r="E48" t="str">
        <f t="shared" si="5"/>
        <v/>
      </c>
    </row>
    <row r="49" spans="1:5" x14ac:dyDescent="0.25">
      <c r="A49" t="str">
        <f>IF(Test!A49="","",Test!A49)</f>
        <v/>
      </c>
      <c r="B49" t="str">
        <f>IF(A49="โรงงาน","",Sheet1!F50)</f>
        <v/>
      </c>
      <c r="C49" t="str">
        <f t="shared" si="4"/>
        <v xml:space="preserve"> </v>
      </c>
      <c r="D49" t="str">
        <f>IFERROR(INDEX(Plant!$A$2:$A$55, MATCH(C49, Plant!C$2:$C$55, 0)), "")</f>
        <v/>
      </c>
      <c r="E49" t="str">
        <f t="shared" si="5"/>
        <v/>
      </c>
    </row>
    <row r="50" spans="1:5" x14ac:dyDescent="0.25">
      <c r="A50" t="str">
        <f>IF(Test!A50="","",Test!A50)</f>
        <v/>
      </c>
      <c r="B50" t="str">
        <f>IF(A50="โรงงาน","",Sheet1!F51)</f>
        <v/>
      </c>
      <c r="C50" t="str">
        <f t="shared" si="4"/>
        <v xml:space="preserve"> </v>
      </c>
      <c r="D50" t="str">
        <f>IFERROR(INDEX(Plant!$A$2:$A$55, MATCH(C50, Plant!C$2:$C$55, 0)), "")</f>
        <v/>
      </c>
      <c r="E50" t="str">
        <f t="shared" si="5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A921E-93AA-4498-BF86-6A500042521C}">
  <sheetPr codeName="Sheet6"/>
  <dimension ref="A1:K360"/>
  <sheetViews>
    <sheetView workbookViewId="0">
      <selection activeCell="A3" sqref="A3"/>
    </sheetView>
  </sheetViews>
  <sheetFormatPr defaultRowHeight="13.8" x14ac:dyDescent="0.25"/>
  <cols>
    <col min="1" max="1" width="37.5" customWidth="1"/>
    <col min="2" max="2" width="28.5" bestFit="1" customWidth="1"/>
    <col min="3" max="3" width="14.09765625" bestFit="1" customWidth="1"/>
    <col min="4" max="8" width="9.09765625" customWidth="1"/>
    <col min="9" max="9" width="17.59765625" bestFit="1" customWidth="1"/>
    <col min="10" max="10" width="9.09765625" customWidth="1"/>
    <col min="11" max="11" width="17.59765625" bestFit="1" customWidth="1"/>
  </cols>
  <sheetData>
    <row r="1" spans="1:11" x14ac:dyDescent="0.25">
      <c r="K1" s="10" t="str">
        <f>IF(OR(A1="",A1="Role,Plant"),"",RIGHT(A1,LEN(A1)-FIND("@",SUBSTITUTE(A1," ","@",LEN(A1)-LEN(SUBSTITUTE(A1," ",""))))))</f>
        <v/>
      </c>
    </row>
    <row r="2" spans="1:11" x14ac:dyDescent="0.25">
      <c r="A2" t="str">
        <f>IF(Test!A2="", "", IF(ISNUMBER(FIND("Query",Test!A2)), "AS Query ZMMIMR91 , ZGRIR_ALV", IF(LEFT(Test!A2,1)="7", "AS " &amp; Test!A2, "AS " &amp; IF(Test!B2="",SUBSTITUTE(MID(Test!A2,FIND(",",Test!A2)+1,FIND(",",Test!A2,FIND(",",Test!A2)+1)-FIND(",",Test!A2)-1),"Cube ",""),LEFT(Test!B2,FIND(",",Test!B2)-1)))))</f>
        <v/>
      </c>
      <c r="B2" t="str">
        <f>IF(ISNUMBER(SEARCH("Query", Test!A2)), MID(Test!A2,FIND(",", Test!A2,FIND(",", Test!A2,FIND(",", Test!A2)+1)+1)+1, FIND(",", Test!A2,FIND(",", Test!A2,FIND(",", Test!A2,FIND(",", Test!A2)+1)+1)+1)-FIND(",", Test!A2,FIND(",", Test!A2,FIND(",", Test!A2)+1)+1)-1), IF(Test!B2&lt;&gt;"",MID(Test!B2,FIND(",",Test!B2)+1,FIND(",",Test!B2,FIND(",",Test!B2)+1)-FIND(",",Test!B2)-1),IF(Test!A2&lt;&gt;"",MID(Test!A2,FIND(",",Test!A2,FIND(",",Test!A2)+1)+1,FIND(",",Test!A2,FIND(",",Test!A2,FIND(",",Test!A2)+1)+1)-FIND(",",Test!A2,FIND(",",Test!A2)+1)-1),"")))</f>
        <v/>
      </c>
      <c r="C2" t="str">
        <f>IF(ISNUMBER(FIND("Query",Test!A2)),RIGHT(Test!A2,LEN(Test!A2)-FIND(",",Test!A2,FIND(",",Test!A2,FIND(",",Test!A2,FIND(",",Test!A2)+1)+1)+1)),IF(Test!B2&lt;&gt;"",RIGHT(Test!B2,LEN(Test!B2)-FIND(",",Test!B2,FIND(",",Test!B2)+1)),IF(Test!A2&lt;&gt;"",MID(Test!A2,FIND(",",Test!A2,FIND(",",Test!A2,FIND(",",Test!A2)+1)+1)+1,LEN(Test!A2)-FIND(",",Test!A2,FIND(",",Test!A2,FIND(",",Test!A2)+1)+1)),""))) &amp; IF(Test!C2&lt;&gt;"", " " &amp; SUBSTITUTE(Test!C2,"-",""), "")</f>
        <v/>
      </c>
      <c r="K2" s="10"/>
    </row>
    <row r="3" spans="1:11" x14ac:dyDescent="0.25">
      <c r="A3" t="str">
        <f>IF(Test!A3="", "", IF(ISNUMBER(FIND("Query",Test!A3)), "AS Query ZMMIMR91 , ZGRIR_ALV", IF(LEFT(Test!A3,1)="7", "AS " &amp; Test!A3, "AS " &amp; IF(Test!B3="",SUBSTITUTE(MID(Test!A3,FIND(",",Test!A3)+1,FIND(",",Test!A3,FIND(",",Test!A3)+1)-FIND(",",Test!A3)-1),"Cube ",""),LEFT(Test!B3,FIND(",",Test!B3)-1)))))</f>
        <v/>
      </c>
      <c r="B3" t="str">
        <f>IF(ISNUMBER(SEARCH("Query", Test!A3)), MID(Test!A3,FIND(",", Test!A3,FIND(",", Test!A3,FIND(",", Test!A3)+1)+1)+1, FIND(",", Test!A3,FIND(",", Test!A3,FIND(",", Test!A3,FIND(",", Test!A3)+1)+1)+1)-FIND(",", Test!A3,FIND(",", Test!A3,FIND(",", Test!A3)+1)+1)-1), IF(Test!B3&lt;&gt;"",MID(Test!B3,FIND(",",Test!B3)+1,FIND(",",Test!B3,FIND(",",Test!B3)+1)-FIND(",",Test!B3)-1),IF(Test!A3&lt;&gt;"",MID(Test!A3,FIND(",",Test!A3,FIND(",",Test!A3)+1)+1,FIND(",",Test!A3,FIND(",",Test!A3,FIND(",",Test!A3)+1)+1)-FIND(",",Test!A3,FIND(",",Test!A3)+1)-1),"")))</f>
        <v/>
      </c>
      <c r="C3" t="str">
        <f>IF(ISNUMBER(FIND("Query",Test!A3)),RIGHT(Test!A3,LEN(Test!A3)-FIND(",",Test!A3,FIND(",",Test!A3,FIND(",",Test!A3,FIND(",",Test!A3)+1)+1)+1)),IF(Test!B3&lt;&gt;"",RIGHT(Test!B3,LEN(Test!B3)-FIND(",",Test!B3,FIND(",",Test!B3)+1)),IF(Test!A3&lt;&gt;"",MID(Test!A3,FIND(",",Test!A3,FIND(",",Test!A3,FIND(",",Test!A3)+1)+1)+1,LEN(Test!A3)-FIND(",",Test!A3,FIND(",",Test!A3,FIND(",",Test!A3)+1)+1)),""))) &amp; IF(Test!C3&lt;&gt;"", " " &amp; SUBSTITUTE(Test!C3,"-",""), "")</f>
        <v/>
      </c>
      <c r="K3" s="10"/>
    </row>
    <row r="4" spans="1:11" x14ac:dyDescent="0.25">
      <c r="A4" t="str">
        <f>IF(Test!A4="", "", IF(ISNUMBER(FIND("Query",Test!A4)), "AS Query ZMMIMR91 , ZGRIR_ALV", IF(LEFT(Test!A4,1)="7", "AS " &amp; Test!A4, "AS " &amp; IF(Test!B4="",SUBSTITUTE(MID(Test!A4,FIND(",",Test!A4)+1,FIND(",",Test!A4,FIND(",",Test!A4)+1)-FIND(",",Test!A4)-1),"Cube ",""),LEFT(Test!B4,FIND(",",Test!B4)-1)))))</f>
        <v/>
      </c>
      <c r="B4" t="str">
        <f>IF(ISNUMBER(SEARCH("Query", Test!A4)), MID(Test!A4,FIND(",", Test!A4,FIND(",", Test!A4,FIND(",", Test!A4)+1)+1)+1, FIND(",", Test!A4,FIND(",", Test!A4,FIND(",", Test!A4,FIND(",", Test!A4)+1)+1)+1)-FIND(",", Test!A4,FIND(",", Test!A4,FIND(",", Test!A4)+1)+1)-1), IF(Test!B4&lt;&gt;"",MID(Test!B4,FIND(",",Test!B4)+1,FIND(",",Test!B4,FIND(",",Test!B4)+1)-FIND(",",Test!B4)-1),IF(Test!A4&lt;&gt;"",MID(Test!A4,FIND(",",Test!A4,FIND(",",Test!A4)+1)+1,FIND(",",Test!A4,FIND(",",Test!A4,FIND(",",Test!A4)+1)+1)-FIND(",",Test!A4,FIND(",",Test!A4)+1)-1),"")))</f>
        <v/>
      </c>
      <c r="C4" t="str">
        <f>IF(ISNUMBER(FIND("Query",Test!A4)),RIGHT(Test!A4,LEN(Test!A4)-FIND(",",Test!A4,FIND(",",Test!A4,FIND(",",Test!A4,FIND(",",Test!A4)+1)+1)+1)),IF(Test!B4&lt;&gt;"",RIGHT(Test!B4,LEN(Test!B4)-FIND(",",Test!B4,FIND(",",Test!B4)+1)),IF(Test!A4&lt;&gt;"",MID(Test!A4,FIND(",",Test!A4,FIND(",",Test!A4,FIND(",",Test!A4)+1)+1)+1,LEN(Test!A4)-FIND(",",Test!A4,FIND(",",Test!A4,FIND(",",Test!A4)+1)+1)),""))) &amp; IF(Test!C4&lt;&gt;"", " " &amp; SUBSTITUTE(Test!C4,"-",""), "")</f>
        <v/>
      </c>
      <c r="K4" s="10"/>
    </row>
    <row r="5" spans="1:11" x14ac:dyDescent="0.25">
      <c r="A5" t="str">
        <f>IF(Test!A5="", "", IF(ISNUMBER(FIND("Query",Test!A5)), "AS Query ZMMIMR91 , ZGRIR_ALV", IF(LEFT(Test!A5,1)="7", "AS " &amp; Test!A5, "AS " &amp; IF(Test!B5="",SUBSTITUTE(MID(Test!A5,FIND(",",Test!A5)+1,FIND(",",Test!A5,FIND(",",Test!A5)+1)-FIND(",",Test!A5)-1),"Cube ",""),LEFT(Test!B5,FIND(",",Test!B5)-1)))))</f>
        <v/>
      </c>
      <c r="B5" t="str">
        <f>IF(ISNUMBER(SEARCH("Query", Test!A5)), MID(Test!A5,FIND(",", Test!A5,FIND(",", Test!A5,FIND(",", Test!A5)+1)+1)+1, FIND(",", Test!A5,FIND(",", Test!A5,FIND(",", Test!A5,FIND(",", Test!A5)+1)+1)+1)-FIND(",", Test!A5,FIND(",", Test!A5,FIND(",", Test!A5)+1)+1)-1), IF(Test!B5&lt;&gt;"",MID(Test!B5,FIND(",",Test!B5)+1,FIND(",",Test!B5,FIND(",",Test!B5)+1)-FIND(",",Test!B5)-1),IF(Test!A5&lt;&gt;"",MID(Test!A5,FIND(",",Test!A5,FIND(",",Test!A5)+1)+1,FIND(",",Test!A5,FIND(",",Test!A5,FIND(",",Test!A5)+1)+1)-FIND(",",Test!A5,FIND(",",Test!A5)+1)-1),"")))</f>
        <v/>
      </c>
      <c r="C5" t="str">
        <f>IF(ISNUMBER(FIND("Query",Test!A5)),RIGHT(Test!A5,LEN(Test!A5)-FIND(",",Test!A5,FIND(",",Test!A5,FIND(",",Test!A5,FIND(",",Test!A5)+1)+1)+1)),IF(Test!B5&lt;&gt;"",RIGHT(Test!B5,LEN(Test!B5)-FIND(",",Test!B5,FIND(",",Test!B5)+1)),IF(Test!A5&lt;&gt;"",MID(Test!A5,FIND(",",Test!A5,FIND(",",Test!A5,FIND(",",Test!A5)+1)+1)+1,LEN(Test!A5)-FIND(",",Test!A5,FIND(",",Test!A5,FIND(",",Test!A5)+1)+1)),""))) &amp; IF(Test!C5&lt;&gt;"", " " &amp; SUBSTITUTE(Test!C5,"-",""), "")</f>
        <v/>
      </c>
      <c r="K5" s="10"/>
    </row>
    <row r="6" spans="1:11" x14ac:dyDescent="0.25">
      <c r="A6" t="str">
        <f>IF(Test!A6="", "", IF(ISNUMBER(FIND("Query",Test!A6)), "AS Query ZMMIMR91 , ZGRIR_ALV", IF(LEFT(Test!A6,1)="7", "AS " &amp; Test!A6, "AS " &amp; IF(Test!B6="",SUBSTITUTE(MID(Test!A6,FIND(",",Test!A6)+1,FIND(",",Test!A6,FIND(",",Test!A6)+1)-FIND(",",Test!A6)-1),"Cube ",""),LEFT(Test!B6,FIND(",",Test!B6)-1)))))</f>
        <v/>
      </c>
      <c r="B6" t="str">
        <f>IF(ISNUMBER(SEARCH("Query", Test!A6)), MID(Test!A6,FIND(",", Test!A6,FIND(",", Test!A6,FIND(",", Test!A6)+1)+1)+1, FIND(",", Test!A6,FIND(",", Test!A6,FIND(",", Test!A6,FIND(",", Test!A6)+1)+1)+1)-FIND(",", Test!A6,FIND(",", Test!A6,FIND(",", Test!A6)+1)+1)-1), IF(Test!B6&lt;&gt;"",MID(Test!B6,FIND(",",Test!B6)+1,FIND(",",Test!B6,FIND(",",Test!B6)+1)-FIND(",",Test!B6)-1),IF(Test!A6&lt;&gt;"",MID(Test!A6,FIND(",",Test!A6,FIND(",",Test!A6)+1)+1,FIND(",",Test!A6,FIND(",",Test!A6,FIND(",",Test!A6)+1)+1)-FIND(",",Test!A6,FIND(",",Test!A6)+1)-1),"")))</f>
        <v/>
      </c>
      <c r="C6" t="str">
        <f>IF(ISNUMBER(FIND("Query",Test!A6)),RIGHT(Test!A6,LEN(Test!A6)-FIND(",",Test!A6,FIND(",",Test!A6,FIND(",",Test!A6,FIND(",",Test!A6)+1)+1)+1)),IF(Test!B6&lt;&gt;"",RIGHT(Test!B6,LEN(Test!B6)-FIND(",",Test!B6,FIND(",",Test!B6)+1)),IF(Test!A6&lt;&gt;"",MID(Test!A6,FIND(",",Test!A6,FIND(",",Test!A6,FIND(",",Test!A6)+1)+1)+1,LEN(Test!A6)-FIND(",",Test!A6,FIND(",",Test!A6,FIND(",",Test!A6)+1)+1)),""))) &amp; IF(Test!C6&lt;&gt;"", " " &amp; SUBSTITUTE(Test!C6,"-",""), "")</f>
        <v/>
      </c>
      <c r="K6" s="10"/>
    </row>
    <row r="7" spans="1:11" x14ac:dyDescent="0.25">
      <c r="A7" t="str">
        <f>IF(Test!A7="", "", IF(ISNUMBER(FIND("Query",Test!A7)), "AS Query ZMMIMR91 , ZGRIR_ALV", IF(LEFT(Test!A7,1)="7", "AS " &amp; Test!A7, "AS " &amp; IF(Test!B7="",SUBSTITUTE(MID(Test!A7,FIND(",",Test!A7)+1,FIND(",",Test!A7,FIND(",",Test!A7)+1)-FIND(",",Test!A7)-1),"Cube ",""),LEFT(Test!B7,FIND(",",Test!B7)-1)))))</f>
        <v/>
      </c>
      <c r="B7" t="str">
        <f>IF(ISNUMBER(SEARCH("Query", Test!A7)), MID(Test!A7,FIND(",", Test!A7,FIND(",", Test!A7,FIND(",", Test!A7)+1)+1)+1, FIND(",", Test!A7,FIND(",", Test!A7,FIND(",", Test!A7,FIND(",", Test!A7)+1)+1)+1)-FIND(",", Test!A7,FIND(",", Test!A7,FIND(",", Test!A7)+1)+1)-1), IF(Test!B7&lt;&gt;"",MID(Test!B7,FIND(",",Test!B7)+1,FIND(",",Test!B7,FIND(",",Test!B7)+1)-FIND(",",Test!B7)-1),IF(Test!A7&lt;&gt;"",MID(Test!A7,FIND(",",Test!A7,FIND(",",Test!A7)+1)+1,FIND(",",Test!A7,FIND(",",Test!A7,FIND(",",Test!A7)+1)+1)-FIND(",",Test!A7,FIND(",",Test!A7)+1)-1),"")))</f>
        <v/>
      </c>
      <c r="C7" t="str">
        <f>IF(ISNUMBER(FIND("Query",Test!A7)),RIGHT(Test!A7,LEN(Test!A7)-FIND(",",Test!A7,FIND(",",Test!A7,FIND(",",Test!A7,FIND(",",Test!A7)+1)+1)+1)),IF(Test!B7&lt;&gt;"",RIGHT(Test!B7,LEN(Test!B7)-FIND(",",Test!B7,FIND(",",Test!B7)+1)),IF(Test!A7&lt;&gt;"",MID(Test!A7,FIND(",",Test!A7,FIND(",",Test!A7,FIND(",",Test!A7)+1)+1)+1,LEN(Test!A7)-FIND(",",Test!A7,FIND(",",Test!A7,FIND(",",Test!A7)+1)+1)),""))) &amp; IF(Test!C7&lt;&gt;"", " " &amp; SUBSTITUTE(Test!C7,"-",""), "")</f>
        <v/>
      </c>
      <c r="K7" s="10"/>
    </row>
    <row r="8" spans="1:11" x14ac:dyDescent="0.25">
      <c r="A8" t="str">
        <f>IF(Test!A8="", "", IF(ISNUMBER(FIND("Query",Test!A8)), "AS Query ZMMIMR91 , ZGRIR_ALV", IF(LEFT(Test!A8,1)="7", "AS " &amp; Test!A8, "AS " &amp; IF(Test!B8="",SUBSTITUTE(MID(Test!A8,FIND(",",Test!A8)+1,FIND(",",Test!A8,FIND(",",Test!A8)+1)-FIND(",",Test!A8)-1),"Cube ",""),LEFT(Test!B8,FIND(",",Test!B8)-1)))))</f>
        <v/>
      </c>
      <c r="B8" t="str">
        <f>IF(ISNUMBER(SEARCH("Query", Test!A8)), MID(Test!A8,FIND(",", Test!A8,FIND(",", Test!A8,FIND(",", Test!A8)+1)+1)+1, FIND(",", Test!A8,FIND(",", Test!A8,FIND(",", Test!A8,FIND(",", Test!A8)+1)+1)+1)-FIND(",", Test!A8,FIND(",", Test!A8,FIND(",", Test!A8)+1)+1)-1), IF(Test!B8&lt;&gt;"",MID(Test!B8,FIND(",",Test!B8)+1,FIND(",",Test!B8,FIND(",",Test!B8)+1)-FIND(",",Test!B8)-1),IF(Test!A8&lt;&gt;"",MID(Test!A8,FIND(",",Test!A8,FIND(",",Test!A8)+1)+1,FIND(",",Test!A8,FIND(",",Test!A8,FIND(",",Test!A8)+1)+1)-FIND(",",Test!A8,FIND(",",Test!A8)+1)-1),"")))</f>
        <v/>
      </c>
      <c r="C8" t="str">
        <f>IF(ISNUMBER(FIND("Query",Test!A8)),RIGHT(Test!A8,LEN(Test!A8)-FIND(",",Test!A8,FIND(",",Test!A8,FIND(",",Test!A8,FIND(",",Test!A8)+1)+1)+1)),IF(Test!B8&lt;&gt;"",RIGHT(Test!B8,LEN(Test!B8)-FIND(",",Test!B8,FIND(",",Test!B8)+1)),IF(Test!A8&lt;&gt;"",MID(Test!A8,FIND(",",Test!A8,FIND(",",Test!A8,FIND(",",Test!A8)+1)+1)+1,LEN(Test!A8)-FIND(",",Test!A8,FIND(",",Test!A8,FIND(",",Test!A8)+1)+1)),""))) &amp; IF(Test!C8&lt;&gt;"", " " &amp; SUBSTITUTE(Test!C8,"-",""), "")</f>
        <v/>
      </c>
      <c r="K8" s="10"/>
    </row>
    <row r="9" spans="1:11" x14ac:dyDescent="0.25">
      <c r="A9" t="str">
        <f>IF(Test!A9="", "", IF(ISNUMBER(FIND("Query",Test!A9)), "AS Query ZMMIMR91 , ZGRIR_ALV", IF(LEFT(Test!A9,1)="7", "AS " &amp; Test!A9, "AS " &amp; IF(Test!B9="",SUBSTITUTE(MID(Test!A9,FIND(",",Test!A9)+1,FIND(",",Test!A9,FIND(",",Test!A9)+1)-FIND(",",Test!A9)-1),"Cube ",""),LEFT(Test!B9,FIND(",",Test!B9)-1)))))</f>
        <v/>
      </c>
      <c r="B9" t="str">
        <f>IF(ISNUMBER(SEARCH("Query", Test!A9)), MID(Test!A9,FIND(",", Test!A9,FIND(",", Test!A9,FIND(",", Test!A9)+1)+1)+1, FIND(",", Test!A9,FIND(",", Test!A9,FIND(",", Test!A9,FIND(",", Test!A9)+1)+1)+1)-FIND(",", Test!A9,FIND(",", Test!A9,FIND(",", Test!A9)+1)+1)-1), IF(Test!B9&lt;&gt;"",MID(Test!B9,FIND(",",Test!B9)+1,FIND(",",Test!B9,FIND(",",Test!B9)+1)-FIND(",",Test!B9)-1),IF(Test!A9&lt;&gt;"",MID(Test!A9,FIND(",",Test!A9,FIND(",",Test!A9)+1)+1,FIND(",",Test!A9,FIND(",",Test!A9,FIND(",",Test!A9)+1)+1)-FIND(",",Test!A9,FIND(",",Test!A9)+1)-1),"")))</f>
        <v/>
      </c>
      <c r="C9" t="str">
        <f>IF(ISNUMBER(FIND("Query",Test!A9)),RIGHT(Test!A9,LEN(Test!A9)-FIND(",",Test!A9,FIND(",",Test!A9,FIND(",",Test!A9,FIND(",",Test!A9)+1)+1)+1)),IF(Test!B9&lt;&gt;"",RIGHT(Test!B9,LEN(Test!B9)-FIND(",",Test!B9,FIND(",",Test!B9)+1)),IF(Test!A9&lt;&gt;"",MID(Test!A9,FIND(",",Test!A9,FIND(",",Test!A9,FIND(",",Test!A9)+1)+1)+1,LEN(Test!A9)-FIND(",",Test!A9,FIND(",",Test!A9,FIND(",",Test!A9)+1)+1)),""))) &amp; IF(Test!C9&lt;&gt;"", " " &amp; SUBSTITUTE(Test!C9,"-",""), "")</f>
        <v/>
      </c>
      <c r="K9" s="10"/>
    </row>
    <row r="10" spans="1:11" x14ac:dyDescent="0.25">
      <c r="A10" t="str">
        <f>IF(Test!A10="", "", IF(ISNUMBER(FIND("Query",Test!A10)), "AS Query ZMMIMR91 , ZGRIR_ALV", IF(LEFT(Test!A10,1)="7", "AS " &amp; Test!A10, "AS " &amp; IF(Test!B10="",SUBSTITUTE(MID(Test!A10,FIND(",",Test!A10)+1,FIND(",",Test!A10,FIND(",",Test!A10)+1)-FIND(",",Test!A10)-1),"Cube ",""),LEFT(Test!B10,FIND(",",Test!B10)-1)))))</f>
        <v/>
      </c>
      <c r="B10" t="str">
        <f>IF(ISNUMBER(SEARCH("Query", Test!A10)), MID(Test!A10,FIND(",", Test!A10,FIND(",", Test!A10,FIND(",", Test!A10)+1)+1)+1, FIND(",", Test!A10,FIND(",", Test!A10,FIND(",", Test!A10,FIND(",", Test!A10)+1)+1)+1)-FIND(",", Test!A10,FIND(",", Test!A10,FIND(",", Test!A10)+1)+1)-1), IF(Test!B10&lt;&gt;"",MID(Test!B10,FIND(",",Test!B10)+1,FIND(",",Test!B10,FIND(",",Test!B10)+1)-FIND(",",Test!B10)-1),IF(Test!A10&lt;&gt;"",MID(Test!A10,FIND(",",Test!A10,FIND(",",Test!A10)+1)+1,FIND(",",Test!A10,FIND(",",Test!A10,FIND(",",Test!A10)+1)+1)-FIND(",",Test!A10,FIND(",",Test!A10)+1)-1),"")))</f>
        <v/>
      </c>
      <c r="C10" t="str">
        <f>IF(ISNUMBER(FIND("Query",Test!A10)),RIGHT(Test!A10,LEN(Test!A10)-FIND(",",Test!A10,FIND(",",Test!A10,FIND(",",Test!A10,FIND(",",Test!A10)+1)+1)+1)),IF(Test!B10&lt;&gt;"",RIGHT(Test!B10,LEN(Test!B10)-FIND(",",Test!B10,FIND(",",Test!B10)+1)),IF(Test!A10&lt;&gt;"",MID(Test!A10,FIND(",",Test!A10,FIND(",",Test!A10,FIND(",",Test!A10)+1)+1)+1,LEN(Test!A10)-FIND(",",Test!A10,FIND(",",Test!A10,FIND(",",Test!A10)+1)+1)),""))) &amp; IF(Test!C10&lt;&gt;"", " " &amp; SUBSTITUTE(Test!C10,"-",""), "")</f>
        <v/>
      </c>
      <c r="K10" s="10"/>
    </row>
    <row r="11" spans="1:11" x14ac:dyDescent="0.25">
      <c r="A11" t="str">
        <f>IF(Test!A11="", "", IF(ISNUMBER(FIND("Query",Test!A11)), "AS Query ZMMIMR91 , ZGRIR_ALV", IF(LEFT(Test!A11,1)="7", "AS " &amp; Test!A11, "AS " &amp; IF(Test!B11="",SUBSTITUTE(MID(Test!A11,FIND(",",Test!A11)+1,FIND(",",Test!A11,FIND(",",Test!A11)+1)-FIND(",",Test!A11)-1),"Cube ",""),LEFT(Test!B11,FIND(",",Test!B11)-1)))))</f>
        <v/>
      </c>
      <c r="B11" t="str">
        <f>IF(ISNUMBER(SEARCH("Query", Test!A11)), MID(Test!A11,FIND(",", Test!A11,FIND(",", Test!A11,FIND(",", Test!A11)+1)+1)+1, FIND(",", Test!A11,FIND(",", Test!A11,FIND(",", Test!A11,FIND(",", Test!A11)+1)+1)+1)-FIND(",", Test!A11,FIND(",", Test!A11,FIND(",", Test!A11)+1)+1)-1), IF(Test!B11&lt;&gt;"",MID(Test!B11,FIND(",",Test!B11)+1,FIND(",",Test!B11,FIND(",",Test!B11)+1)-FIND(",",Test!B11)-1),IF(Test!A11&lt;&gt;"",MID(Test!A11,FIND(",",Test!A11,FIND(",",Test!A11)+1)+1,FIND(",",Test!A11,FIND(",",Test!A11,FIND(",",Test!A11)+1)+1)-FIND(",",Test!A11,FIND(",",Test!A11)+1)-1),"")))</f>
        <v/>
      </c>
      <c r="C11" t="str">
        <f>IF(ISNUMBER(FIND("Query",Test!A11)),RIGHT(Test!A11,LEN(Test!A11)-FIND(",",Test!A11,FIND(",",Test!A11,FIND(",",Test!A11,FIND(",",Test!A11)+1)+1)+1)),IF(Test!B11&lt;&gt;"",RIGHT(Test!B11,LEN(Test!B11)-FIND(",",Test!B11,FIND(",",Test!B11)+1)),IF(Test!A11&lt;&gt;"",MID(Test!A11,FIND(",",Test!A11,FIND(",",Test!A11,FIND(",",Test!A11)+1)+1)+1,LEN(Test!A11)-FIND(",",Test!A11,FIND(",",Test!A11,FIND(",",Test!A11)+1)+1)),""))) &amp; IF(Test!C11&lt;&gt;"", " " &amp; SUBSTITUTE(Test!C11,"-",""), "")</f>
        <v/>
      </c>
      <c r="K11" s="10"/>
    </row>
    <row r="12" spans="1:11" x14ac:dyDescent="0.25">
      <c r="A12" t="str">
        <f>IF(Test!A12="", "", IF(ISNUMBER(FIND("Query",Test!A12)), "AS Query ZMMIMR91 , ZGRIR_ALV", IF(LEFT(Test!A12,1)="7", "AS " &amp; Test!A12, "AS " &amp; IF(Test!B12="",SUBSTITUTE(MID(Test!A12,FIND(",",Test!A12)+1,FIND(",",Test!A12,FIND(",",Test!A12)+1)-FIND(",",Test!A12)-1),"Cube ",""),LEFT(Test!B12,FIND(",",Test!B12)-1)))))</f>
        <v/>
      </c>
      <c r="B12" t="str">
        <f>IF(ISNUMBER(SEARCH("Query", Test!A12)), MID(Test!A12,FIND(",", Test!A12,FIND(",", Test!A12,FIND(",", Test!A12)+1)+1)+1, FIND(",", Test!A12,FIND(",", Test!A12,FIND(",", Test!A12,FIND(",", Test!A12)+1)+1)+1)-FIND(",", Test!A12,FIND(",", Test!A12,FIND(",", Test!A12)+1)+1)-1), IF(Test!B12&lt;&gt;"",MID(Test!B12,FIND(",",Test!B12)+1,FIND(",",Test!B12,FIND(",",Test!B12)+1)-FIND(",",Test!B12)-1),IF(Test!A12&lt;&gt;"",MID(Test!A12,FIND(",",Test!A12,FIND(",",Test!A12)+1)+1,FIND(",",Test!A12,FIND(",",Test!A12,FIND(",",Test!A12)+1)+1)-FIND(",",Test!A12,FIND(",",Test!A12)+1)-1),"")))</f>
        <v/>
      </c>
      <c r="C12" t="str">
        <f>IF(ISNUMBER(FIND("Query",Test!A12)),RIGHT(Test!A12,LEN(Test!A12)-FIND(",",Test!A12,FIND(",",Test!A12,FIND(",",Test!A12,FIND(",",Test!A12)+1)+1)+1)),IF(Test!B12&lt;&gt;"",RIGHT(Test!B12,LEN(Test!B12)-FIND(",",Test!B12,FIND(",",Test!B12)+1)),IF(Test!A12&lt;&gt;"",MID(Test!A12,FIND(",",Test!A12,FIND(",",Test!A12,FIND(",",Test!A12)+1)+1)+1,LEN(Test!A12)-FIND(",",Test!A12,FIND(",",Test!A12,FIND(",",Test!A12)+1)+1)),""))) &amp; IF(Test!C12&lt;&gt;"", " " &amp; SUBSTITUTE(Test!C12,"-",""), "")</f>
        <v/>
      </c>
      <c r="K12" s="10"/>
    </row>
    <row r="13" spans="1:11" x14ac:dyDescent="0.25">
      <c r="A13" t="str">
        <f>IF(Test!A13="", "", IF(ISNUMBER(FIND("Query",Test!A13)), "AS Query ZMMIMR91 , ZGRIR_ALV", IF(LEFT(Test!A13,1)="7", "AS " &amp; Test!A13, "AS " &amp; IF(Test!B13="",SUBSTITUTE(MID(Test!A13,FIND(",",Test!A13)+1,FIND(",",Test!A13,FIND(",",Test!A13)+1)-FIND(",",Test!A13)-1),"Cube ",""),LEFT(Test!B13,FIND(",",Test!B13)-1)))))</f>
        <v/>
      </c>
      <c r="B13" t="str">
        <f>IF(ISNUMBER(SEARCH("Query", Test!A13)), MID(Test!A13,FIND(",", Test!A13,FIND(",", Test!A13,FIND(",", Test!A13)+1)+1)+1, FIND(",", Test!A13,FIND(",", Test!A13,FIND(",", Test!A13,FIND(",", Test!A13)+1)+1)+1)-FIND(",", Test!A13,FIND(",", Test!A13,FIND(",", Test!A13)+1)+1)-1), IF(Test!B13&lt;&gt;"",MID(Test!B13,FIND(",",Test!B13)+1,FIND(",",Test!B13,FIND(",",Test!B13)+1)-FIND(",",Test!B13)-1),IF(Test!A13&lt;&gt;"",MID(Test!A13,FIND(",",Test!A13,FIND(",",Test!A13)+1)+1,FIND(",",Test!A13,FIND(",",Test!A13,FIND(",",Test!A13)+1)+1)-FIND(",",Test!A13,FIND(",",Test!A13)+1)-1),"")))</f>
        <v/>
      </c>
      <c r="C13" t="str">
        <f>IF(ISNUMBER(FIND("Query",Test!A13)),RIGHT(Test!A13,LEN(Test!A13)-FIND(",",Test!A13,FIND(",",Test!A13,FIND(",",Test!A13,FIND(",",Test!A13)+1)+1)+1)),IF(Test!B13&lt;&gt;"",RIGHT(Test!B13,LEN(Test!B13)-FIND(",",Test!B13,FIND(",",Test!B13)+1)),IF(Test!A13&lt;&gt;"",MID(Test!A13,FIND(",",Test!A13,FIND(",",Test!A13,FIND(",",Test!A13)+1)+1)+1,LEN(Test!A13)-FIND(",",Test!A13,FIND(",",Test!A13,FIND(",",Test!A13)+1)+1)),""))) &amp; IF(Test!C13&lt;&gt;"", " " &amp; SUBSTITUTE(Test!C13,"-",""), "")</f>
        <v/>
      </c>
      <c r="K13" s="10"/>
    </row>
    <row r="14" spans="1:11" x14ac:dyDescent="0.25">
      <c r="A14" t="str">
        <f>IF(Test!A14="", "", IF(ISNUMBER(FIND("Query",Test!A14)), "AS Query ZMMIMR91 , ZGRIR_ALV", IF(LEFT(Test!A14,1)="7", "AS " &amp; Test!A14, "AS " &amp; IF(Test!B14="",SUBSTITUTE(MID(Test!A14,FIND(",",Test!A14)+1,FIND(",",Test!A14,FIND(",",Test!A14)+1)-FIND(",",Test!A14)-1),"Cube ",""),LEFT(Test!B14,FIND(",",Test!B14)-1)))))</f>
        <v/>
      </c>
      <c r="B14" t="str">
        <f>IF(ISNUMBER(SEARCH("Query", Test!A14)), MID(Test!A14,FIND(",", Test!A14,FIND(",", Test!A14,FIND(",", Test!A14)+1)+1)+1, FIND(",", Test!A14,FIND(",", Test!A14,FIND(",", Test!A14,FIND(",", Test!A14)+1)+1)+1)-FIND(",", Test!A14,FIND(",", Test!A14,FIND(",", Test!A14)+1)+1)-1), IF(Test!B14&lt;&gt;"",MID(Test!B14,FIND(",",Test!B14)+1,FIND(",",Test!B14,FIND(",",Test!B14)+1)-FIND(",",Test!B14)-1),IF(Test!A14&lt;&gt;"",MID(Test!A14,FIND(",",Test!A14,FIND(",",Test!A14)+1)+1,FIND(",",Test!A14,FIND(",",Test!A14,FIND(",",Test!A14)+1)+1)-FIND(",",Test!A14,FIND(",",Test!A14)+1)-1),"")))</f>
        <v/>
      </c>
      <c r="C14" t="str">
        <f>IF(ISNUMBER(FIND("Query",Test!A14)),RIGHT(Test!A14,LEN(Test!A14)-FIND(",",Test!A14,FIND(",",Test!A14,FIND(",",Test!A14,FIND(",",Test!A14)+1)+1)+1)),IF(Test!B14&lt;&gt;"",RIGHT(Test!B14,LEN(Test!B14)-FIND(",",Test!B14,FIND(",",Test!B14)+1)),IF(Test!A14&lt;&gt;"",MID(Test!A14,FIND(",",Test!A14,FIND(",",Test!A14,FIND(",",Test!A14)+1)+1)+1,LEN(Test!A14)-FIND(",",Test!A14,FIND(",",Test!A14,FIND(",",Test!A14)+1)+1)),""))) &amp; IF(Test!C14&lt;&gt;"", " " &amp; SUBSTITUTE(Test!C14,"-",""), "")</f>
        <v/>
      </c>
      <c r="K14" s="10"/>
    </row>
    <row r="15" spans="1:11" x14ac:dyDescent="0.25">
      <c r="A15" t="str">
        <f>IF(Test!A15="", "", IF(ISNUMBER(FIND("Query",Test!A15)), "AS Query ZMMIMR91 , ZGRIR_ALV", IF(LEFT(Test!A15,1)="7", "AS " &amp; Test!A15, "AS " &amp; IF(Test!B15="",SUBSTITUTE(MID(Test!A15,FIND(",",Test!A15)+1,FIND(",",Test!A15,FIND(",",Test!A15)+1)-FIND(",",Test!A15)-1),"Cube ",""),LEFT(Test!B15,FIND(",",Test!B15)-1)))))</f>
        <v/>
      </c>
      <c r="B15" t="str">
        <f>IF(ISNUMBER(SEARCH("Query", Test!A15)), MID(Test!A15,FIND(",", Test!A15,FIND(",", Test!A15,FIND(",", Test!A15)+1)+1)+1, FIND(",", Test!A15,FIND(",", Test!A15,FIND(",", Test!A15,FIND(",", Test!A15)+1)+1)+1)-FIND(",", Test!A15,FIND(",", Test!A15,FIND(",", Test!A15)+1)+1)-1), IF(Test!B15&lt;&gt;"",MID(Test!B15,FIND(",",Test!B15)+1,FIND(",",Test!B15,FIND(",",Test!B15)+1)-FIND(",",Test!B15)-1),IF(Test!A15&lt;&gt;"",MID(Test!A15,FIND(",",Test!A15,FIND(",",Test!A15)+1)+1,FIND(",",Test!A15,FIND(",",Test!A15,FIND(",",Test!A15)+1)+1)-FIND(",",Test!A15,FIND(",",Test!A15)+1)-1),"")))</f>
        <v/>
      </c>
      <c r="C15" t="str">
        <f>IF(ISNUMBER(FIND("Query",Test!A15)),RIGHT(Test!A15,LEN(Test!A15)-FIND(",",Test!A15,FIND(",",Test!A15,FIND(",",Test!A15,FIND(",",Test!A15)+1)+1)+1)),IF(Test!B15&lt;&gt;"",RIGHT(Test!B15,LEN(Test!B15)-FIND(",",Test!B15,FIND(",",Test!B15)+1)),IF(Test!A15&lt;&gt;"",MID(Test!A15,FIND(",",Test!A15,FIND(",",Test!A15,FIND(",",Test!A15)+1)+1)+1,LEN(Test!A15)-FIND(",",Test!A15,FIND(",",Test!A15,FIND(",",Test!A15)+1)+1)),""))) &amp; IF(Test!C15&lt;&gt;"", " " &amp; SUBSTITUTE(Test!C15,"-",""), "")</f>
        <v/>
      </c>
      <c r="K15" s="10"/>
    </row>
    <row r="16" spans="1:11" x14ac:dyDescent="0.25">
      <c r="A16" t="str">
        <f>IF(Test!A16="", "", IF(ISNUMBER(FIND("Query",Test!A16)), "AS Query ZMMIMR91 , ZGRIR_ALV", IF(LEFT(Test!A16,1)="7", "AS " &amp; Test!A16, "AS " &amp; IF(Test!B16="",SUBSTITUTE(MID(Test!A16,FIND(",",Test!A16)+1,FIND(",",Test!A16,FIND(",",Test!A16)+1)-FIND(",",Test!A16)-1),"Cube ",""),LEFT(Test!B16,FIND(",",Test!B16)-1)))))</f>
        <v/>
      </c>
      <c r="B16" t="str">
        <f>IF(ISNUMBER(SEARCH("Query", Test!A16)), MID(Test!A16,FIND(",", Test!A16,FIND(",", Test!A16,FIND(",", Test!A16)+1)+1)+1, FIND(",", Test!A16,FIND(",", Test!A16,FIND(",", Test!A16,FIND(",", Test!A16)+1)+1)+1)-FIND(",", Test!A16,FIND(",", Test!A16,FIND(",", Test!A16)+1)+1)-1), IF(Test!B16&lt;&gt;"",MID(Test!B16,FIND(",",Test!B16)+1,FIND(",",Test!B16,FIND(",",Test!B16)+1)-FIND(",",Test!B16)-1),IF(Test!A16&lt;&gt;"",MID(Test!A16,FIND(",",Test!A16,FIND(",",Test!A16)+1)+1,FIND(",",Test!A16,FIND(",",Test!A16,FIND(",",Test!A16)+1)+1)-FIND(",",Test!A16,FIND(",",Test!A16)+1)-1),"")))</f>
        <v/>
      </c>
      <c r="C16" t="str">
        <f>IF(ISNUMBER(FIND("Query",Test!A16)),RIGHT(Test!A16,LEN(Test!A16)-FIND(",",Test!A16,FIND(",",Test!A16,FIND(",",Test!A16,FIND(",",Test!A16)+1)+1)+1)),IF(Test!B16&lt;&gt;"",RIGHT(Test!B16,LEN(Test!B16)-FIND(",",Test!B16,FIND(",",Test!B16)+1)),IF(Test!A16&lt;&gt;"",MID(Test!A16,FIND(",",Test!A16,FIND(",",Test!A16,FIND(",",Test!A16)+1)+1)+1,LEN(Test!A16)-FIND(",",Test!A16,FIND(",",Test!A16,FIND(",",Test!A16)+1)+1)),""))) &amp; IF(Test!C16&lt;&gt;"", " " &amp; SUBSTITUTE(Test!C16,"-",""), "")</f>
        <v/>
      </c>
      <c r="K16" s="10"/>
    </row>
    <row r="17" spans="1:11" x14ac:dyDescent="0.25">
      <c r="A17" t="str">
        <f>IF(Test!A17="", "", IF(ISNUMBER(FIND("Query",Test!A17)), "AS Query ZMMIMR91 , ZGRIR_ALV", IF(LEFT(Test!A17,1)="7", "AS " &amp; Test!A17, "AS " &amp; IF(Test!B17="",SUBSTITUTE(MID(Test!A17,FIND(",",Test!A17)+1,FIND(",",Test!A17,FIND(",",Test!A17)+1)-FIND(",",Test!A17)-1),"Cube ",""),LEFT(Test!B17,FIND(",",Test!B17)-1)))))</f>
        <v/>
      </c>
      <c r="B17" t="str">
        <f>IF(ISNUMBER(SEARCH("Query", Test!A17)), MID(Test!A17,FIND(",", Test!A17,FIND(",", Test!A17,FIND(",", Test!A17)+1)+1)+1, FIND(",", Test!A17,FIND(",", Test!A17,FIND(",", Test!A17,FIND(",", Test!A17)+1)+1)+1)-FIND(",", Test!A17,FIND(",", Test!A17,FIND(",", Test!A17)+1)+1)-1), IF(Test!B17&lt;&gt;"",MID(Test!B17,FIND(",",Test!B17)+1,FIND(",",Test!B17,FIND(",",Test!B17)+1)-FIND(",",Test!B17)-1),IF(Test!A17&lt;&gt;"",MID(Test!A17,FIND(",",Test!A17,FIND(",",Test!A17)+1)+1,FIND(",",Test!A17,FIND(",",Test!A17,FIND(",",Test!A17)+1)+1)-FIND(",",Test!A17,FIND(",",Test!A17)+1)-1),"")))</f>
        <v/>
      </c>
      <c r="C17" t="str">
        <f>IF(ISNUMBER(FIND("Query",Test!A17)),RIGHT(Test!A17,LEN(Test!A17)-FIND(",",Test!A17,FIND(",",Test!A17,FIND(",",Test!A17,FIND(",",Test!A17)+1)+1)+1)),IF(Test!B17&lt;&gt;"",RIGHT(Test!B17,LEN(Test!B17)-FIND(",",Test!B17,FIND(",",Test!B17)+1)),IF(Test!A17&lt;&gt;"",MID(Test!A17,FIND(",",Test!A17,FIND(",",Test!A17,FIND(",",Test!A17)+1)+1)+1,LEN(Test!A17)-FIND(",",Test!A17,FIND(",",Test!A17,FIND(",",Test!A17)+1)+1)),""))) &amp; IF(Test!C17&lt;&gt;"", " " &amp; SUBSTITUTE(Test!C17,"-",""), "")</f>
        <v/>
      </c>
      <c r="K17" s="10"/>
    </row>
    <row r="18" spans="1:11" x14ac:dyDescent="0.25">
      <c r="A18" t="str">
        <f>IF(Test!A18="", "", IF(ISNUMBER(FIND("Query",Test!A18)), "AS Query ZMMIMR91 , ZGRIR_ALV", IF(LEFT(Test!A18,1)="7", "AS " &amp; Test!A18, "AS " &amp; IF(Test!B18="",SUBSTITUTE(MID(Test!A18,FIND(",",Test!A18)+1,FIND(",",Test!A18,FIND(",",Test!A18)+1)-FIND(",",Test!A18)-1),"Cube ",""),LEFT(Test!B18,FIND(",",Test!B18)-1)))))</f>
        <v/>
      </c>
      <c r="B18" t="str">
        <f>IF(ISNUMBER(SEARCH("Query", Test!A18)), MID(Test!A18,FIND(",", Test!A18,FIND(",", Test!A18,FIND(",", Test!A18)+1)+1)+1, FIND(",", Test!A18,FIND(",", Test!A18,FIND(",", Test!A18,FIND(",", Test!A18)+1)+1)+1)-FIND(",", Test!A18,FIND(",", Test!A18,FIND(",", Test!A18)+1)+1)-1), IF(Test!B18&lt;&gt;"",MID(Test!B18,FIND(",",Test!B18)+1,FIND(",",Test!B18,FIND(",",Test!B18)+1)-FIND(",",Test!B18)-1),IF(Test!A18&lt;&gt;"",MID(Test!A18,FIND(",",Test!A18,FIND(",",Test!A18)+1)+1,FIND(",",Test!A18,FIND(",",Test!A18,FIND(",",Test!A18)+1)+1)-FIND(",",Test!A18,FIND(",",Test!A18)+1)-1),"")))</f>
        <v/>
      </c>
      <c r="C18" t="str">
        <f>IF(ISNUMBER(FIND("Query",Test!A18)),RIGHT(Test!A18,LEN(Test!A18)-FIND(",",Test!A18,FIND(",",Test!A18,FIND(",",Test!A18,FIND(",",Test!A18)+1)+1)+1)),IF(Test!B18&lt;&gt;"",RIGHT(Test!B18,LEN(Test!B18)-FIND(",",Test!B18,FIND(",",Test!B18)+1)),IF(Test!A18&lt;&gt;"",MID(Test!A18,FIND(",",Test!A18,FIND(",",Test!A18,FIND(",",Test!A18)+1)+1)+1,LEN(Test!A18)-FIND(",",Test!A18,FIND(",",Test!A18,FIND(",",Test!A18)+1)+1)),""))) &amp; IF(Test!C18&lt;&gt;"", " " &amp; SUBSTITUTE(Test!C18,"-",""), "")</f>
        <v/>
      </c>
      <c r="K18" s="10"/>
    </row>
    <row r="19" spans="1:11" x14ac:dyDescent="0.25">
      <c r="A19" t="str">
        <f>IF(Test!A19="", "", IF(ISNUMBER(FIND("Query",Test!A19)), "AS Query ZMMIMR91 , ZGRIR_ALV", IF(LEFT(Test!A19,1)="7", "AS " &amp; Test!A19, "AS " &amp; IF(Test!B19="",SUBSTITUTE(MID(Test!A19,FIND(",",Test!A19)+1,FIND(",",Test!A19,FIND(",",Test!A19)+1)-FIND(",",Test!A19)-1),"Cube ",""),LEFT(Test!B19,FIND(",",Test!B19)-1)))))</f>
        <v/>
      </c>
      <c r="B19" t="str">
        <f>IF(ISNUMBER(SEARCH("Query", Test!A19)), MID(Test!A19,FIND(",", Test!A19,FIND(",", Test!A19,FIND(",", Test!A19)+1)+1)+1, FIND(",", Test!A19,FIND(",", Test!A19,FIND(",", Test!A19,FIND(",", Test!A19)+1)+1)+1)-FIND(",", Test!A19,FIND(",", Test!A19,FIND(",", Test!A19)+1)+1)-1), IF(Test!B19&lt;&gt;"",MID(Test!B19,FIND(",",Test!B19)+1,FIND(",",Test!B19,FIND(",",Test!B19)+1)-FIND(",",Test!B19)-1),IF(Test!A19&lt;&gt;"",MID(Test!A19,FIND(",",Test!A19,FIND(",",Test!A19)+1)+1,FIND(",",Test!A19,FIND(",",Test!A19,FIND(",",Test!A19)+1)+1)-FIND(",",Test!A19,FIND(",",Test!A19)+1)-1),"")))</f>
        <v/>
      </c>
      <c r="C19" t="str">
        <f>IF(ISNUMBER(FIND("Query",Test!A19)),RIGHT(Test!A19,LEN(Test!A19)-FIND(",",Test!A19,FIND(",",Test!A19,FIND(",",Test!A19,FIND(",",Test!A19)+1)+1)+1)),IF(Test!B19&lt;&gt;"",RIGHT(Test!B19,LEN(Test!B19)-FIND(",",Test!B19,FIND(",",Test!B19)+1)),IF(Test!A19&lt;&gt;"",MID(Test!A19,FIND(",",Test!A19,FIND(",",Test!A19,FIND(",",Test!A19)+1)+1)+1,LEN(Test!A19)-FIND(",",Test!A19,FIND(",",Test!A19,FIND(",",Test!A19)+1)+1)),""))) &amp; IF(Test!C19&lt;&gt;"", " " &amp; SUBSTITUTE(Test!C19,"-",""), "")</f>
        <v/>
      </c>
      <c r="H19" s="11"/>
      <c r="K19" s="10"/>
    </row>
    <row r="20" spans="1:11" x14ac:dyDescent="0.25">
      <c r="A20" t="str">
        <f>IF(Test!A20="", "", IF(ISNUMBER(FIND("Query",Test!A20)), "AS Query ZMMIMR91 , ZGRIR_ALV", IF(LEFT(Test!A20,1)="7", "AS " &amp; Test!A20, "AS " &amp; IF(Test!B20="",SUBSTITUTE(MID(Test!A20,FIND(",",Test!A20)+1,FIND(",",Test!A20,FIND(",",Test!A20)+1)-FIND(",",Test!A20)-1),"Cube ",""),LEFT(Test!B20,FIND(",",Test!B20)-1)))))</f>
        <v/>
      </c>
      <c r="B20" t="str">
        <f>IF(ISNUMBER(SEARCH("Query", Test!A20)), MID(Test!A20,FIND(",", Test!A20,FIND(",", Test!A20,FIND(",", Test!A20)+1)+1)+1, FIND(",", Test!A20,FIND(",", Test!A20,FIND(",", Test!A20,FIND(",", Test!A20)+1)+1)+1)-FIND(",", Test!A20,FIND(",", Test!A20,FIND(",", Test!A20)+1)+1)-1), IF(Test!B20&lt;&gt;"",MID(Test!B20,FIND(",",Test!B20)+1,FIND(",",Test!B20,FIND(",",Test!B20)+1)-FIND(",",Test!B20)-1),IF(Test!A20&lt;&gt;"",MID(Test!A20,FIND(",",Test!A20,FIND(",",Test!A20)+1)+1,FIND(",",Test!A20,FIND(",",Test!A20,FIND(",",Test!A20)+1)+1)-FIND(",",Test!A20,FIND(",",Test!A20)+1)-1),"")))</f>
        <v/>
      </c>
      <c r="C20" t="str">
        <f>IF(ISNUMBER(FIND("Query",Test!A20)),RIGHT(Test!A20,LEN(Test!A20)-FIND(",",Test!A20,FIND(",",Test!A20,FIND(",",Test!A20,FIND(",",Test!A20)+1)+1)+1)),IF(Test!B20&lt;&gt;"",RIGHT(Test!B20,LEN(Test!B20)-FIND(",",Test!B20,FIND(",",Test!B20)+1)),IF(Test!A20&lt;&gt;"",MID(Test!A20,FIND(",",Test!A20,FIND(",",Test!A20,FIND(",",Test!A20)+1)+1)+1,LEN(Test!A20)-FIND(",",Test!A20,FIND(",",Test!A20,FIND(",",Test!A20)+1)+1)),""))) &amp; IF(Test!C20&lt;&gt;"", " " &amp; SUBSTITUTE(Test!C20,"-",""), "")</f>
        <v/>
      </c>
      <c r="K20" s="10"/>
    </row>
    <row r="21" spans="1:11" x14ac:dyDescent="0.25">
      <c r="A21" t="str">
        <f>IF(Test!A21="", "", IF(ISNUMBER(FIND("Query",Test!A21)), "AS Query ZMMIMR91 , ZGRIR_ALV", IF(LEFT(Test!A21,1)="7", "AS " &amp; Test!A21, "AS " &amp; IF(Test!B21="",SUBSTITUTE(MID(Test!A21,FIND(",",Test!A21)+1,FIND(",",Test!A21,FIND(",",Test!A21)+1)-FIND(",",Test!A21)-1),"Cube ",""),LEFT(Test!B21,FIND(",",Test!B21)-1)))))</f>
        <v/>
      </c>
      <c r="B21" t="str">
        <f>IF(ISNUMBER(SEARCH("Query", Test!A21)), MID(Test!A21,FIND(",", Test!A21,FIND(",", Test!A21,FIND(",", Test!A21)+1)+1)+1, FIND(",", Test!A21,FIND(",", Test!A21,FIND(",", Test!A21,FIND(",", Test!A21)+1)+1)+1)-FIND(",", Test!A21,FIND(",", Test!A21,FIND(",", Test!A21)+1)+1)-1), IF(Test!B21&lt;&gt;"",MID(Test!B21,FIND(",",Test!B21)+1,FIND(",",Test!B21,FIND(",",Test!B21)+1)-FIND(",",Test!B21)-1),IF(Test!A21&lt;&gt;"",MID(Test!A21,FIND(",",Test!A21,FIND(",",Test!A21)+1)+1,FIND(",",Test!A21,FIND(",",Test!A21,FIND(",",Test!A21)+1)+1)-FIND(",",Test!A21,FIND(",",Test!A21)+1)-1),"")))</f>
        <v/>
      </c>
      <c r="C21" t="str">
        <f>IF(ISNUMBER(FIND("Query",Test!A21)),RIGHT(Test!A21,LEN(Test!A21)-FIND(",",Test!A21,FIND(",",Test!A21,FIND(",",Test!A21,FIND(",",Test!A21)+1)+1)+1)),IF(Test!B21&lt;&gt;"",RIGHT(Test!B21,LEN(Test!B21)-FIND(",",Test!B21,FIND(",",Test!B21)+1)),IF(Test!A21&lt;&gt;"",MID(Test!A21,FIND(",",Test!A21,FIND(",",Test!A21,FIND(",",Test!A21)+1)+1)+1,LEN(Test!A21)-FIND(",",Test!A21,FIND(",",Test!A21,FIND(",",Test!A21)+1)+1)),""))) &amp; IF(Test!C21&lt;&gt;"", " " &amp; SUBSTITUTE(Test!C21,"-",""), "")</f>
        <v/>
      </c>
      <c r="K21" s="10"/>
    </row>
    <row r="22" spans="1:11" x14ac:dyDescent="0.25">
      <c r="A22" t="str">
        <f>IF(Test!A22="", "", IF(ISNUMBER(FIND("Query",Test!A22)), "AS Query ZMMIMR91 , ZGRIR_ALV", IF(LEFT(Test!A22,1)="7", "AS " &amp; Test!A22, "AS " &amp; IF(Test!B22="",SUBSTITUTE(MID(Test!A22,FIND(",",Test!A22)+1,FIND(",",Test!A22,FIND(",",Test!A22)+1)-FIND(",",Test!A22)-1),"Cube ",""),LEFT(Test!B22,FIND(",",Test!B22)-1)))))</f>
        <v/>
      </c>
      <c r="B22" t="str">
        <f>IF(ISNUMBER(SEARCH("Query", Test!A22)), MID(Test!A22,FIND(",", Test!A22,FIND(",", Test!A22,FIND(",", Test!A22)+1)+1)+1, FIND(",", Test!A22,FIND(",", Test!A22,FIND(",", Test!A22,FIND(",", Test!A22)+1)+1)+1)-FIND(",", Test!A22,FIND(",", Test!A22,FIND(",", Test!A22)+1)+1)-1), IF(Test!B22&lt;&gt;"",MID(Test!B22,FIND(",",Test!B22)+1,FIND(",",Test!B22,FIND(",",Test!B22)+1)-FIND(",",Test!B22)-1),IF(Test!A22&lt;&gt;"",MID(Test!A22,FIND(",",Test!A22,FIND(",",Test!A22)+1)+1,FIND(",",Test!A22,FIND(",",Test!A22,FIND(",",Test!A22)+1)+1)-FIND(",",Test!A22,FIND(",",Test!A22)+1)-1),"")))</f>
        <v/>
      </c>
      <c r="C22" t="str">
        <f>IF(ISNUMBER(FIND("Query",Test!A22)),RIGHT(Test!A22,LEN(Test!A22)-FIND(",",Test!A22,FIND(",",Test!A22,FIND(",",Test!A22,FIND(",",Test!A22)+1)+1)+1)),IF(Test!B22&lt;&gt;"",RIGHT(Test!B22,LEN(Test!B22)-FIND(",",Test!B22,FIND(",",Test!B22)+1)),IF(Test!A22&lt;&gt;"",MID(Test!A22,FIND(",",Test!A22,FIND(",",Test!A22,FIND(",",Test!A22)+1)+1)+1,LEN(Test!A22)-FIND(",",Test!A22,FIND(",",Test!A22,FIND(",",Test!A22)+1)+1)),""))) &amp; IF(Test!C22&lt;&gt;"", " " &amp; SUBSTITUTE(Test!C22,"-",""), "")</f>
        <v/>
      </c>
      <c r="K22" s="10"/>
    </row>
    <row r="23" spans="1:11" x14ac:dyDescent="0.25">
      <c r="A23" t="str">
        <f>IF(Test!A23="", "", IF(ISNUMBER(FIND("Query",Test!A23)), "AS Query ZMMIMR91 , ZGRIR_ALV", IF(LEFT(Test!A23,1)="7", "AS " &amp; Test!A23, "AS " &amp; IF(Test!B23="",SUBSTITUTE(MID(Test!A23,FIND(",",Test!A23)+1,FIND(",",Test!A23,FIND(",",Test!A23)+1)-FIND(",",Test!A23)-1),"Cube ",""),LEFT(Test!B23,FIND(",",Test!B23)-1)))))</f>
        <v/>
      </c>
      <c r="B23" t="str">
        <f>IF(ISNUMBER(SEARCH("Query", Test!A23)), MID(Test!A23,FIND(",", Test!A23,FIND(",", Test!A23,FIND(",", Test!A23)+1)+1)+1, FIND(",", Test!A23,FIND(",", Test!A23,FIND(",", Test!A23,FIND(",", Test!A23)+1)+1)+1)-FIND(",", Test!A23,FIND(",", Test!A23,FIND(",", Test!A23)+1)+1)-1), IF(Test!B23&lt;&gt;"",MID(Test!B23,FIND(",",Test!B23)+1,FIND(",",Test!B23,FIND(",",Test!B23)+1)-FIND(",",Test!B23)-1),IF(Test!A23&lt;&gt;"",MID(Test!A23,FIND(",",Test!A23,FIND(",",Test!A23)+1)+1,FIND(",",Test!A23,FIND(",",Test!A23,FIND(",",Test!A23)+1)+1)-FIND(",",Test!A23,FIND(",",Test!A23)+1)-1),"")))</f>
        <v/>
      </c>
      <c r="C23" t="str">
        <f>IF(ISNUMBER(FIND("Query",Test!A23)),RIGHT(Test!A23,LEN(Test!A23)-FIND(",",Test!A23,FIND(",",Test!A23,FIND(",",Test!A23,FIND(",",Test!A23)+1)+1)+1)),IF(Test!B23&lt;&gt;"",RIGHT(Test!B23,LEN(Test!B23)-FIND(",",Test!B23,FIND(",",Test!B23)+1)),IF(Test!A23&lt;&gt;"",MID(Test!A23,FIND(",",Test!A23,FIND(",",Test!A23,FIND(",",Test!A23)+1)+1)+1,LEN(Test!A23)-FIND(",",Test!A23,FIND(",",Test!A23,FIND(",",Test!A23)+1)+1)),""))) &amp; IF(Test!C23&lt;&gt;"", " " &amp; SUBSTITUTE(Test!C23,"-",""), "")</f>
        <v/>
      </c>
      <c r="H23" s="11"/>
      <c r="K23" s="10"/>
    </row>
    <row r="24" spans="1:11" x14ac:dyDescent="0.25">
      <c r="A24" t="str">
        <f>IF(Test!A24="", "", IF(ISNUMBER(FIND("Query",Test!A24)), "AS Query ZMMIMR91 , ZGRIR_ALV", IF(LEFT(Test!A24,1)="7", "AS " &amp; Test!A24, "AS " &amp; IF(Test!B24="",SUBSTITUTE(MID(Test!A24,FIND(",",Test!A24)+1,FIND(",",Test!A24,FIND(",",Test!A24)+1)-FIND(",",Test!A24)-1),"Cube ",""),LEFT(Test!B24,FIND(",",Test!B24)-1)))))</f>
        <v/>
      </c>
      <c r="B24" t="str">
        <f>IF(ISNUMBER(SEARCH("Query", Test!A24)), MID(Test!A24,FIND(",", Test!A24,FIND(",", Test!A24,FIND(",", Test!A24)+1)+1)+1, FIND(",", Test!A24,FIND(",", Test!A24,FIND(",", Test!A24,FIND(",", Test!A24)+1)+1)+1)-FIND(",", Test!A24,FIND(",", Test!A24,FIND(",", Test!A24)+1)+1)-1), IF(Test!B24&lt;&gt;"",MID(Test!B24,FIND(",",Test!B24)+1,FIND(",",Test!B24,FIND(",",Test!B24)+1)-FIND(",",Test!B24)-1),IF(Test!A24&lt;&gt;"",MID(Test!A24,FIND(",",Test!A24,FIND(",",Test!A24)+1)+1,FIND(",",Test!A24,FIND(",",Test!A24,FIND(",",Test!A24)+1)+1)-FIND(",",Test!A24,FIND(",",Test!A24)+1)-1),"")))</f>
        <v/>
      </c>
      <c r="C24" t="str">
        <f>IF(ISNUMBER(FIND("Query",Test!A24)),RIGHT(Test!A24,LEN(Test!A24)-FIND(",",Test!A24,FIND(",",Test!A24,FIND(",",Test!A24,FIND(",",Test!A24)+1)+1)+1)),IF(Test!B24&lt;&gt;"",RIGHT(Test!B24,LEN(Test!B24)-FIND(",",Test!B24,FIND(",",Test!B24)+1)),IF(Test!A24&lt;&gt;"",MID(Test!A24,FIND(",",Test!A24,FIND(",",Test!A24,FIND(",",Test!A24)+1)+1)+1,LEN(Test!A24)-FIND(",",Test!A24,FIND(",",Test!A24,FIND(",",Test!A24)+1)+1)),""))) &amp; IF(Test!C24&lt;&gt;"", " " &amp; SUBSTITUTE(Test!C24,"-",""), "")</f>
        <v/>
      </c>
      <c r="K24" s="10"/>
    </row>
    <row r="25" spans="1:11" x14ac:dyDescent="0.25">
      <c r="A25" t="str">
        <f>IF(Test!A25="", "", IF(ISNUMBER(FIND("Query",Test!A25)), "AS Query ZMMIMR91 , ZGRIR_ALV", IF(LEFT(Test!A25,1)="7", "AS " &amp; Test!A25, "AS " &amp; IF(Test!B25="",SUBSTITUTE(MID(Test!A25,FIND(",",Test!A25)+1,FIND(",",Test!A25,FIND(",",Test!A25)+1)-FIND(",",Test!A25)-1),"Cube ",""),LEFT(Test!B25,FIND(",",Test!B25)-1)))))</f>
        <v/>
      </c>
      <c r="B25" t="str">
        <f>IF(ISNUMBER(SEARCH("Query", Test!A25)), MID(Test!A25,FIND(",", Test!A25,FIND(",", Test!A25,FIND(",", Test!A25)+1)+1)+1, FIND(",", Test!A25,FIND(",", Test!A25,FIND(",", Test!A25,FIND(",", Test!A25)+1)+1)+1)-FIND(",", Test!A25,FIND(",", Test!A25,FIND(",", Test!A25)+1)+1)-1), IF(Test!B25&lt;&gt;"",MID(Test!B25,FIND(",",Test!B25)+1,FIND(",",Test!B25,FIND(",",Test!B25)+1)-FIND(",",Test!B25)-1),IF(Test!A25&lt;&gt;"",MID(Test!A25,FIND(",",Test!A25,FIND(",",Test!A25)+1)+1,FIND(",",Test!A25,FIND(",",Test!A25,FIND(",",Test!A25)+1)+1)-FIND(",",Test!A25,FIND(",",Test!A25)+1)-1),"")))</f>
        <v/>
      </c>
      <c r="C25" t="str">
        <f>IF(ISNUMBER(FIND("Query",Test!A25)),RIGHT(Test!A25,LEN(Test!A25)-FIND(",",Test!A25,FIND(",",Test!A25,FIND(",",Test!A25,FIND(",",Test!A25)+1)+1)+1)),IF(Test!B25&lt;&gt;"",RIGHT(Test!B25,LEN(Test!B25)-FIND(",",Test!B25,FIND(",",Test!B25)+1)),IF(Test!A25&lt;&gt;"",MID(Test!A25,FIND(",",Test!A25,FIND(",",Test!A25,FIND(",",Test!A25)+1)+1)+1,LEN(Test!A25)-FIND(",",Test!A25,FIND(",",Test!A25,FIND(",",Test!A25)+1)+1)),""))) &amp; IF(Test!C25&lt;&gt;"", " " &amp; SUBSTITUTE(Test!C25,"-",""), "")</f>
        <v/>
      </c>
      <c r="K25" s="10"/>
    </row>
    <row r="26" spans="1:11" x14ac:dyDescent="0.25">
      <c r="A26" t="str">
        <f>IF(Test!A26="", "", IF(ISNUMBER(FIND("Query",Test!A26)), "AS Query ZMMIMR91 , ZGRIR_ALV", IF(LEFT(Test!A26,1)="7", "AS " &amp; Test!A26, "AS " &amp; IF(Test!B26="",SUBSTITUTE(MID(Test!A26,FIND(",",Test!A26)+1,FIND(",",Test!A26,FIND(",",Test!A26)+1)-FIND(",",Test!A26)-1),"Cube ",""),LEFT(Test!B26,FIND(",",Test!B26)-1)))))</f>
        <v/>
      </c>
      <c r="B26" t="str">
        <f>IF(ISNUMBER(SEARCH("Query", Test!A26)), MID(Test!A26,FIND(",", Test!A26,FIND(",", Test!A26,FIND(",", Test!A26)+1)+1)+1, FIND(",", Test!A26,FIND(",", Test!A26,FIND(",", Test!A26,FIND(",", Test!A26)+1)+1)+1)-FIND(",", Test!A26,FIND(",", Test!A26,FIND(",", Test!A26)+1)+1)-1), IF(Test!B26&lt;&gt;"",MID(Test!B26,FIND(",",Test!B26)+1,FIND(",",Test!B26,FIND(",",Test!B26)+1)-FIND(",",Test!B26)-1),IF(Test!A26&lt;&gt;"",MID(Test!A26,FIND(",",Test!A26,FIND(",",Test!A26)+1)+1,FIND(",",Test!A26,FIND(",",Test!A26,FIND(",",Test!A26)+1)+1)-FIND(",",Test!A26,FIND(",",Test!A26)+1)-1),"")))</f>
        <v/>
      </c>
      <c r="C26" t="str">
        <f>IF(ISNUMBER(FIND("Query",Test!A26)),RIGHT(Test!A26,LEN(Test!A26)-FIND(",",Test!A26,FIND(",",Test!A26,FIND(",",Test!A26,FIND(",",Test!A26)+1)+1)+1)),IF(Test!B26&lt;&gt;"",RIGHT(Test!B26,LEN(Test!B26)-FIND(",",Test!B26,FIND(",",Test!B26)+1)),IF(Test!A26&lt;&gt;"",MID(Test!A26,FIND(",",Test!A26,FIND(",",Test!A26,FIND(",",Test!A26)+1)+1)+1,LEN(Test!A26)-FIND(",",Test!A26,FIND(",",Test!A26,FIND(",",Test!A26)+1)+1)),""))) &amp; IF(Test!C26&lt;&gt;"", " " &amp; SUBSTITUTE(Test!C26,"-",""), "")</f>
        <v/>
      </c>
      <c r="K26" s="10"/>
    </row>
    <row r="27" spans="1:11" x14ac:dyDescent="0.25">
      <c r="A27" t="str">
        <f>IF(Test!A27="", "", IF(ISNUMBER(FIND("Query",Test!A27)), "AS Query ZMMIMR91 , ZGRIR_ALV", IF(LEFT(Test!A27,1)="7", "AS " &amp; Test!A27, "AS " &amp; IF(Test!B27="",SUBSTITUTE(MID(Test!A27,FIND(",",Test!A27)+1,FIND(",",Test!A27,FIND(",",Test!A27)+1)-FIND(",",Test!A27)-1),"Cube ",""),LEFT(Test!B27,FIND(",",Test!B27)-1)))))</f>
        <v/>
      </c>
      <c r="B27" t="str">
        <f>IF(ISNUMBER(SEARCH("Query", Test!A27)), MID(Test!A27,FIND(",", Test!A27,FIND(",", Test!A27,FIND(",", Test!A27)+1)+1)+1, FIND(",", Test!A27,FIND(",", Test!A27,FIND(",", Test!A27,FIND(",", Test!A27)+1)+1)+1)-FIND(",", Test!A27,FIND(",", Test!A27,FIND(",", Test!A27)+1)+1)-1), IF(Test!B27&lt;&gt;"",MID(Test!B27,FIND(",",Test!B27)+1,FIND(",",Test!B27,FIND(",",Test!B27)+1)-FIND(",",Test!B27)-1),IF(Test!A27&lt;&gt;"",MID(Test!A27,FIND(",",Test!A27,FIND(",",Test!A27)+1)+1,FIND(",",Test!A27,FIND(",",Test!A27,FIND(",",Test!A27)+1)+1)-FIND(",",Test!A27,FIND(",",Test!A27)+1)-1),"")))</f>
        <v/>
      </c>
      <c r="C27" t="str">
        <f>IF(ISNUMBER(FIND("Query",Test!A27)),RIGHT(Test!A27,LEN(Test!A27)-FIND(",",Test!A27,FIND(",",Test!A27,FIND(",",Test!A27,FIND(",",Test!A27)+1)+1)+1)),IF(Test!B27&lt;&gt;"",RIGHT(Test!B27,LEN(Test!B27)-FIND(",",Test!B27,FIND(",",Test!B27)+1)),IF(Test!A27&lt;&gt;"",MID(Test!A27,FIND(",",Test!A27,FIND(",",Test!A27,FIND(",",Test!A27)+1)+1)+1,LEN(Test!A27)-FIND(",",Test!A27,FIND(",",Test!A27,FIND(",",Test!A27)+1)+1)),""))) &amp; IF(Test!C27&lt;&gt;"", " " &amp; SUBSTITUTE(Test!C27,"-",""), "")</f>
        <v/>
      </c>
      <c r="K27" s="10"/>
    </row>
    <row r="28" spans="1:11" x14ac:dyDescent="0.25">
      <c r="A28" t="str">
        <f>IF(Test!A28="", "", IF(ISNUMBER(FIND("Query",Test!A28)), "AS Query ZMMIMR91 , ZGRIR_ALV", IF(LEFT(Test!A28,1)="7", "AS " &amp; Test!A28, "AS " &amp; IF(Test!B28="",SUBSTITUTE(MID(Test!A28,FIND(",",Test!A28)+1,FIND(",",Test!A28,FIND(",",Test!A28)+1)-FIND(",",Test!A28)-1),"Cube ",""),LEFT(Test!B28,FIND(",",Test!B28)-1)))))</f>
        <v/>
      </c>
      <c r="B28" t="str">
        <f>IF(ISNUMBER(SEARCH("Query", Test!A28)), MID(Test!A28,FIND(",", Test!A28,FIND(",", Test!A28,FIND(",", Test!A28)+1)+1)+1, FIND(",", Test!A28,FIND(",", Test!A28,FIND(",", Test!A28,FIND(",", Test!A28)+1)+1)+1)-FIND(",", Test!A28,FIND(",", Test!A28,FIND(",", Test!A28)+1)+1)-1), IF(Test!B28&lt;&gt;"",MID(Test!B28,FIND(",",Test!B28)+1,FIND(",",Test!B28,FIND(",",Test!B28)+1)-FIND(",",Test!B28)-1),IF(Test!A28&lt;&gt;"",MID(Test!A28,FIND(",",Test!A28,FIND(",",Test!A28)+1)+1,FIND(",",Test!A28,FIND(",",Test!A28,FIND(",",Test!A28)+1)+1)-FIND(",",Test!A28,FIND(",",Test!A28)+1)-1),"")))</f>
        <v/>
      </c>
      <c r="C28" t="str">
        <f>IF(ISNUMBER(FIND("Query",Test!A28)),RIGHT(Test!A28,LEN(Test!A28)-FIND(",",Test!A28,FIND(",",Test!A28,FIND(",",Test!A28,FIND(",",Test!A28)+1)+1)+1)),IF(Test!B28&lt;&gt;"",RIGHT(Test!B28,LEN(Test!B28)-FIND(",",Test!B28,FIND(",",Test!B28)+1)),IF(Test!A28&lt;&gt;"",MID(Test!A28,FIND(",",Test!A28,FIND(",",Test!A28,FIND(",",Test!A28)+1)+1)+1,LEN(Test!A28)-FIND(",",Test!A28,FIND(",",Test!A28,FIND(",",Test!A28)+1)+1)),""))) &amp; IF(Test!C28&lt;&gt;"", " " &amp; SUBSTITUTE(Test!C28,"-",""), "")</f>
        <v/>
      </c>
      <c r="K28" s="10"/>
    </row>
    <row r="29" spans="1:11" x14ac:dyDescent="0.25">
      <c r="A29" t="str">
        <f>IF(Test!A29="", "", IF(ISNUMBER(FIND("Query",Test!A29)), "AS Query ZMMIMR91 , ZGRIR_ALV", IF(LEFT(Test!A29,1)="7", "AS " &amp; Test!A29, "AS " &amp; IF(Test!B29="",SUBSTITUTE(MID(Test!A29,FIND(",",Test!A29)+1,FIND(",",Test!A29,FIND(",",Test!A29)+1)-FIND(",",Test!A29)-1),"Cube ",""),LEFT(Test!B29,FIND(",",Test!B29)-1)))))</f>
        <v/>
      </c>
      <c r="B29" t="str">
        <f>IF(ISNUMBER(SEARCH("Query", Test!A29)), MID(Test!A29,FIND(",", Test!A29,FIND(",", Test!A29,FIND(",", Test!A29)+1)+1)+1, FIND(",", Test!A29,FIND(",", Test!A29,FIND(",", Test!A29,FIND(",", Test!A29)+1)+1)+1)-FIND(",", Test!A29,FIND(",", Test!A29,FIND(",", Test!A29)+1)+1)-1), IF(Test!B29&lt;&gt;"",MID(Test!B29,FIND(",",Test!B29)+1,FIND(",",Test!B29,FIND(",",Test!B29)+1)-FIND(",",Test!B29)-1),IF(Test!A29&lt;&gt;"",MID(Test!A29,FIND(",",Test!A29,FIND(",",Test!A29)+1)+1,FIND(",",Test!A29,FIND(",",Test!A29,FIND(",",Test!A29)+1)+1)-FIND(",",Test!A29,FIND(",",Test!A29)+1)-1),"")))</f>
        <v/>
      </c>
      <c r="C29" t="str">
        <f>IF(ISNUMBER(FIND("Query",Test!A29)),RIGHT(Test!A29,LEN(Test!A29)-FIND(",",Test!A29,FIND(",",Test!A29,FIND(",",Test!A29,FIND(",",Test!A29)+1)+1)+1)),IF(Test!B29&lt;&gt;"",RIGHT(Test!B29,LEN(Test!B29)-FIND(",",Test!B29,FIND(",",Test!B29)+1)),IF(Test!A29&lt;&gt;"",MID(Test!A29,FIND(",",Test!A29,FIND(",",Test!A29,FIND(",",Test!A29)+1)+1)+1,LEN(Test!A29)-FIND(",",Test!A29,FIND(",",Test!A29,FIND(",",Test!A29)+1)+1)),""))) &amp; IF(Test!C29&lt;&gt;"", " " &amp; SUBSTITUTE(Test!C29,"-",""), "")</f>
        <v/>
      </c>
      <c r="K29" s="10"/>
    </row>
    <row r="30" spans="1:11" x14ac:dyDescent="0.25">
      <c r="A30" t="str">
        <f>IF(Test!A30="", "", IF(ISNUMBER(FIND("Query",Test!A30)), "AS Query ZMMIMR91 , ZGRIR_ALV", IF(LEFT(Test!A30,1)="7", "AS " &amp; Test!A30, "AS " &amp; IF(Test!B30="",SUBSTITUTE(MID(Test!A30,FIND(",",Test!A30)+1,FIND(",",Test!A30,FIND(",",Test!A30)+1)-FIND(",",Test!A30)-1),"Cube ",""),LEFT(Test!B30,FIND(",",Test!B30)-1)))))</f>
        <v/>
      </c>
      <c r="B30" t="str">
        <f>IF(ISNUMBER(SEARCH("Query", Test!A30)), MID(Test!A30,FIND(",", Test!A30,FIND(",", Test!A30,FIND(",", Test!A30)+1)+1)+1, FIND(",", Test!A30,FIND(",", Test!A30,FIND(",", Test!A30,FIND(",", Test!A30)+1)+1)+1)-FIND(",", Test!A30,FIND(",", Test!A30,FIND(",", Test!A30)+1)+1)-1), IF(Test!B30&lt;&gt;"",MID(Test!B30,FIND(",",Test!B30)+1,FIND(",",Test!B30,FIND(",",Test!B30)+1)-FIND(",",Test!B30)-1),IF(Test!A30&lt;&gt;"",MID(Test!A30,FIND(",",Test!A30,FIND(",",Test!A30)+1)+1,FIND(",",Test!A30,FIND(",",Test!A30,FIND(",",Test!A30)+1)+1)-FIND(",",Test!A30,FIND(",",Test!A30)+1)-1),"")))</f>
        <v/>
      </c>
      <c r="C30" t="str">
        <f>IF(ISNUMBER(FIND("Query",Test!A30)),RIGHT(Test!A30,LEN(Test!A30)-FIND(",",Test!A30,FIND(",",Test!A30,FIND(",",Test!A30,FIND(",",Test!A30)+1)+1)+1)),IF(Test!B30&lt;&gt;"",RIGHT(Test!B30,LEN(Test!B30)-FIND(",",Test!B30,FIND(",",Test!B30)+1)),IF(Test!A30&lt;&gt;"",MID(Test!A30,FIND(",",Test!A30,FIND(",",Test!A30,FIND(",",Test!A30)+1)+1)+1,LEN(Test!A30)-FIND(",",Test!A30,FIND(",",Test!A30,FIND(",",Test!A30)+1)+1)),""))) &amp; IF(Test!C30&lt;&gt;"", " " &amp; SUBSTITUTE(Test!C30,"-",""), "")</f>
        <v/>
      </c>
    </row>
    <row r="31" spans="1:11" x14ac:dyDescent="0.25">
      <c r="A31" t="str">
        <f>IF(Test!A31="", "", IF(ISNUMBER(FIND("Query",Test!A31)), "AS Query ZMMIMR91 , ZGRIR_ALV", IF(LEFT(Test!A31,1)="7", "AS " &amp; Test!A31, "AS " &amp; IF(Test!B31="",SUBSTITUTE(MID(Test!A31,FIND(",",Test!A31)+1,FIND(",",Test!A31,FIND(",",Test!A31)+1)-FIND(",",Test!A31)-1),"Cube ",""),LEFT(Test!B31,FIND(",",Test!B31)-1)))))</f>
        <v/>
      </c>
      <c r="B31" t="str">
        <f>IF(ISNUMBER(SEARCH("Query", Test!A31)), MID(Test!A31,FIND(",", Test!A31,FIND(",", Test!A31,FIND(",", Test!A31)+1)+1)+1, FIND(",", Test!A31,FIND(",", Test!A31,FIND(",", Test!A31,FIND(",", Test!A31)+1)+1)+1)-FIND(",", Test!A31,FIND(",", Test!A31,FIND(",", Test!A31)+1)+1)-1), IF(Test!B31&lt;&gt;"",MID(Test!B31,FIND(",",Test!B31)+1,FIND(",",Test!B31,FIND(",",Test!B31)+1)-FIND(",",Test!B31)-1),IF(Test!A31&lt;&gt;"",MID(Test!A31,FIND(",",Test!A31,FIND(",",Test!A31)+1)+1,FIND(",",Test!A31,FIND(",",Test!A31,FIND(",",Test!A31)+1)+1)-FIND(",",Test!A31,FIND(",",Test!A31)+1)-1),"")))</f>
        <v/>
      </c>
      <c r="C31" t="str">
        <f>IF(ISNUMBER(FIND("Query",Test!A31)),RIGHT(Test!A31,LEN(Test!A31)-FIND(",",Test!A31,FIND(",",Test!A31,FIND(",",Test!A31,FIND(",",Test!A31)+1)+1)+1)),IF(Test!B31&lt;&gt;"",RIGHT(Test!B31,LEN(Test!B31)-FIND(",",Test!B31,FIND(",",Test!B31)+1)),IF(Test!A31&lt;&gt;"",MID(Test!A31,FIND(",",Test!A31,FIND(",",Test!A31,FIND(",",Test!A31)+1)+1)+1,LEN(Test!A31)-FIND(",",Test!A31,FIND(",",Test!A31,FIND(",",Test!A31)+1)+1)),""))) &amp; IF(Test!C31&lt;&gt;"", " " &amp; SUBSTITUTE(Test!C31,"-",""), "")</f>
        <v/>
      </c>
    </row>
    <row r="32" spans="1:11" x14ac:dyDescent="0.25">
      <c r="A32" t="str">
        <f>IF(Test!A32="", "", IF(ISNUMBER(FIND("Query",Test!A32)), "AS Query ZMMIMR91 , ZGRIR_ALV", IF(LEFT(Test!A32,1)="7", "AS " &amp; Test!A32, "AS " &amp; IF(Test!B32="",SUBSTITUTE(MID(Test!A32,FIND(",",Test!A32)+1,FIND(",",Test!A32,FIND(",",Test!A32)+1)-FIND(",",Test!A32)-1),"Cube ",""),LEFT(Test!B32,FIND(",",Test!B32)-1)))))</f>
        <v/>
      </c>
      <c r="B32" t="str">
        <f>IF(ISNUMBER(SEARCH("Query", Test!A32)), MID(Test!A32,FIND(",", Test!A32,FIND(",", Test!A32,FIND(",", Test!A32)+1)+1)+1, FIND(",", Test!A32,FIND(",", Test!A32,FIND(",", Test!A32,FIND(",", Test!A32)+1)+1)+1)-FIND(",", Test!A32,FIND(",", Test!A32,FIND(",", Test!A32)+1)+1)-1), IF(Test!B32&lt;&gt;"",MID(Test!B32,FIND(",",Test!B32)+1,FIND(",",Test!B32,FIND(",",Test!B32)+1)-FIND(",",Test!B32)-1),IF(Test!A32&lt;&gt;"",MID(Test!A32,FIND(",",Test!A32,FIND(",",Test!A32)+1)+1,FIND(",",Test!A32,FIND(",",Test!A32,FIND(",",Test!A32)+1)+1)-FIND(",",Test!A32,FIND(",",Test!A32)+1)-1),"")))</f>
        <v/>
      </c>
      <c r="C32" t="str">
        <f>IF(ISNUMBER(FIND("Query",Test!A32)),RIGHT(Test!A32,LEN(Test!A32)-FIND(",",Test!A32,FIND(",",Test!A32,FIND(",",Test!A32,FIND(",",Test!A32)+1)+1)+1)),IF(Test!B32&lt;&gt;"",RIGHT(Test!B32,LEN(Test!B32)-FIND(",",Test!B32,FIND(",",Test!B32)+1)),IF(Test!A32&lt;&gt;"",MID(Test!A32,FIND(",",Test!A32,FIND(",",Test!A32,FIND(",",Test!A32)+1)+1)+1,LEN(Test!A32)-FIND(",",Test!A32,FIND(",",Test!A32,FIND(",",Test!A32)+1)+1)),""))) &amp; IF(Test!C32&lt;&gt;"", " " &amp; SUBSTITUTE(Test!C32,"-",""), "")</f>
        <v/>
      </c>
    </row>
    <row r="33" spans="1:3" x14ac:dyDescent="0.25">
      <c r="A33" t="str">
        <f>IF(Test!A33="", "", IF(ISNUMBER(FIND("Query",Test!A33)), "AS Query ZMMIMR91 , ZGRIR_ALV", IF(LEFT(Test!A33,1)="7", "AS " &amp; Test!A33, "AS " &amp; IF(Test!B33="",SUBSTITUTE(MID(Test!A33,FIND(",",Test!A33)+1,FIND(",",Test!A33,FIND(",",Test!A33)+1)-FIND(",",Test!A33)-1),"Cube ",""),LEFT(Test!B33,FIND(",",Test!B33)-1)))))</f>
        <v/>
      </c>
      <c r="B33" t="str">
        <f>IF(ISNUMBER(SEARCH("Query", Test!A33)), MID(Test!A33,FIND(",", Test!A33,FIND(",", Test!A33,FIND(",", Test!A33)+1)+1)+1, FIND(",", Test!A33,FIND(",", Test!A33,FIND(",", Test!A33,FIND(",", Test!A33)+1)+1)+1)-FIND(",", Test!A33,FIND(",", Test!A33,FIND(",", Test!A33)+1)+1)-1), IF(Test!B33&lt;&gt;"",MID(Test!B33,FIND(",",Test!B33)+1,FIND(",",Test!B33,FIND(",",Test!B33)+1)-FIND(",",Test!B33)-1),IF(Test!A33&lt;&gt;"",MID(Test!A33,FIND(",",Test!A33,FIND(",",Test!A33)+1)+1,FIND(",",Test!A33,FIND(",",Test!A33,FIND(",",Test!A33)+1)+1)-FIND(",",Test!A33,FIND(",",Test!A33)+1)-1),"")))</f>
        <v/>
      </c>
      <c r="C33" t="str">
        <f>IF(ISNUMBER(FIND("Query",Test!A33)),RIGHT(Test!A33,LEN(Test!A33)-FIND(",",Test!A33,FIND(",",Test!A33,FIND(",",Test!A33,FIND(",",Test!A33)+1)+1)+1)),IF(Test!B33&lt;&gt;"",RIGHT(Test!B33,LEN(Test!B33)-FIND(",",Test!B33,FIND(",",Test!B33)+1)),IF(Test!A33&lt;&gt;"",MID(Test!A33,FIND(",",Test!A33,FIND(",",Test!A33,FIND(",",Test!A33)+1)+1)+1,LEN(Test!A33)-FIND(",",Test!A33,FIND(",",Test!A33,FIND(",",Test!A33)+1)+1)),""))) &amp; IF(Test!C33&lt;&gt;"", " " &amp; SUBSTITUTE(Test!C33,"-",""), "")</f>
        <v/>
      </c>
    </row>
    <row r="34" spans="1:3" x14ac:dyDescent="0.25">
      <c r="A34" t="str">
        <f>IF(Test!A34="", "", IF(ISNUMBER(FIND("Query",Test!A34)), "AS Query ZMMIMR91 , ZGRIR_ALV", IF(LEFT(Test!A34,1)="7", "AS " &amp; Test!A34, "AS " &amp; IF(Test!B34="",SUBSTITUTE(MID(Test!A34,FIND(",",Test!A34)+1,FIND(",",Test!A34,FIND(",",Test!A34)+1)-FIND(",",Test!A34)-1),"Cube ",""),LEFT(Test!B34,FIND(",",Test!B34)-1)))))</f>
        <v/>
      </c>
      <c r="B34" t="str">
        <f>IF(ISNUMBER(SEARCH("Query", Test!A34)), MID(Test!A34,FIND(",", Test!A34,FIND(",", Test!A34,FIND(",", Test!A34)+1)+1)+1, FIND(",", Test!A34,FIND(",", Test!A34,FIND(",", Test!A34,FIND(",", Test!A34)+1)+1)+1)-FIND(",", Test!A34,FIND(",", Test!A34,FIND(",", Test!A34)+1)+1)-1), IF(Test!B34&lt;&gt;"",MID(Test!B34,FIND(",",Test!B34)+1,FIND(",",Test!B34,FIND(",",Test!B34)+1)-FIND(",",Test!B34)-1),IF(Test!A34&lt;&gt;"",MID(Test!A34,FIND(",",Test!A34,FIND(",",Test!A34)+1)+1,FIND(",",Test!A34,FIND(",",Test!A34,FIND(",",Test!A34)+1)+1)-FIND(",",Test!A34,FIND(",",Test!A34)+1)-1),"")))</f>
        <v/>
      </c>
      <c r="C34" t="str">
        <f>IF(ISNUMBER(FIND("Query",Test!A34)),RIGHT(Test!A34,LEN(Test!A34)-FIND(",",Test!A34,FIND(",",Test!A34,FIND(",",Test!A34,FIND(",",Test!A34)+1)+1)+1)),IF(Test!B34&lt;&gt;"",RIGHT(Test!B34,LEN(Test!B34)-FIND(",",Test!B34,FIND(",",Test!B34)+1)),IF(Test!A34&lt;&gt;"",MID(Test!A34,FIND(",",Test!A34,FIND(",",Test!A34,FIND(",",Test!A34)+1)+1)+1,LEN(Test!A34)-FIND(",",Test!A34,FIND(",",Test!A34,FIND(",",Test!A34)+1)+1)),""))) &amp; IF(Test!C34&lt;&gt;"", " " &amp; SUBSTITUTE(Test!C34,"-",""), "")</f>
        <v/>
      </c>
    </row>
    <row r="35" spans="1:3" x14ac:dyDescent="0.25">
      <c r="A35" t="str">
        <f>IF(Test!A35="", "", IF(ISNUMBER(FIND("Query",Test!A35)), "AS Query ZMMIMR91 , ZGRIR_ALV", IF(LEFT(Test!A35,1)="7", "AS " &amp; Test!A35, "AS " &amp; IF(Test!B35="",SUBSTITUTE(MID(Test!A35,FIND(",",Test!A35)+1,FIND(",",Test!A35,FIND(",",Test!A35)+1)-FIND(",",Test!A35)-1),"Cube ",""),LEFT(Test!B35,FIND(",",Test!B35)-1)))))</f>
        <v/>
      </c>
      <c r="B35" t="str">
        <f>IF(ISNUMBER(SEARCH("Query", Test!A35)), MID(Test!A35,FIND(",", Test!A35,FIND(",", Test!A35,FIND(",", Test!A35)+1)+1)+1, FIND(",", Test!A35,FIND(",", Test!A35,FIND(",", Test!A35,FIND(",", Test!A35)+1)+1)+1)-FIND(",", Test!A35,FIND(",", Test!A35,FIND(",", Test!A35)+1)+1)-1), IF(Test!B35&lt;&gt;"",MID(Test!B35,FIND(",",Test!B35)+1,FIND(",",Test!B35,FIND(",",Test!B35)+1)-FIND(",",Test!B35)-1),IF(Test!A35&lt;&gt;"",MID(Test!A35,FIND(",",Test!A35,FIND(",",Test!A35)+1)+1,FIND(",",Test!A35,FIND(",",Test!A35,FIND(",",Test!A35)+1)+1)-FIND(",",Test!A35,FIND(",",Test!A35)+1)-1),"")))</f>
        <v/>
      </c>
      <c r="C35" t="str">
        <f>IF(ISNUMBER(FIND("Query",Test!A35)),RIGHT(Test!A35,LEN(Test!A35)-FIND(",",Test!A35,FIND(",",Test!A35,FIND(",",Test!A35,FIND(",",Test!A35)+1)+1)+1)),IF(Test!B35&lt;&gt;"",RIGHT(Test!B35,LEN(Test!B35)-FIND(",",Test!B35,FIND(",",Test!B35)+1)),IF(Test!A35&lt;&gt;"",MID(Test!A35,FIND(",",Test!A35,FIND(",",Test!A35,FIND(",",Test!A35)+1)+1)+1,LEN(Test!A35)-FIND(",",Test!A35,FIND(",",Test!A35,FIND(",",Test!A35)+1)+1)),""))) &amp; IF(Test!C35&lt;&gt;"", " " &amp; SUBSTITUTE(Test!C35,"-",""), "")</f>
        <v/>
      </c>
    </row>
    <row r="36" spans="1:3" x14ac:dyDescent="0.25">
      <c r="A36" t="str">
        <f>IF(Test!A36="", "", IF(ISNUMBER(FIND("Query",Test!A36)), "AS Query ZMMIMR91 , ZGRIR_ALV", IF(LEFT(Test!A36,1)="7", "AS " &amp; Test!A36, "AS " &amp; IF(Test!B36="",SUBSTITUTE(MID(Test!A36,FIND(",",Test!A36)+1,FIND(",",Test!A36,FIND(",",Test!A36)+1)-FIND(",",Test!A36)-1),"Cube ",""),LEFT(Test!B36,FIND(",",Test!B36)-1)))))</f>
        <v/>
      </c>
      <c r="B36" t="str">
        <f>IF(ISNUMBER(SEARCH("Query", Test!A36)), MID(Test!A36,FIND(",", Test!A36,FIND(",", Test!A36,FIND(",", Test!A36)+1)+1)+1, FIND(",", Test!A36,FIND(",", Test!A36,FIND(",", Test!A36,FIND(",", Test!A36)+1)+1)+1)-FIND(",", Test!A36,FIND(",", Test!A36,FIND(",", Test!A36)+1)+1)-1), IF(Test!B36&lt;&gt;"",MID(Test!B36,FIND(",",Test!B36)+1,FIND(",",Test!B36,FIND(",",Test!B36)+1)-FIND(",",Test!B36)-1),IF(Test!A36&lt;&gt;"",MID(Test!A36,FIND(",",Test!A36,FIND(",",Test!A36)+1)+1,FIND(",",Test!A36,FIND(",",Test!A36,FIND(",",Test!A36)+1)+1)-FIND(",",Test!A36,FIND(",",Test!A36)+1)-1),"")))</f>
        <v/>
      </c>
      <c r="C36" t="str">
        <f>IF(ISNUMBER(FIND("Query",Test!A36)),RIGHT(Test!A36,LEN(Test!A36)-FIND(",",Test!A36,FIND(",",Test!A36,FIND(",",Test!A36,FIND(",",Test!A36)+1)+1)+1)),IF(Test!B36&lt;&gt;"",RIGHT(Test!B36,LEN(Test!B36)-FIND(",",Test!B36,FIND(",",Test!B36)+1)),IF(Test!A36&lt;&gt;"",MID(Test!A36,FIND(",",Test!A36,FIND(",",Test!A36,FIND(",",Test!A36)+1)+1)+1,LEN(Test!A36)-FIND(",",Test!A36,FIND(",",Test!A36,FIND(",",Test!A36)+1)+1)),""))) &amp; IF(Test!C36&lt;&gt;"", " " &amp; SUBSTITUTE(Test!C36,"-",""), "")</f>
        <v/>
      </c>
    </row>
    <row r="37" spans="1:3" x14ac:dyDescent="0.25">
      <c r="A37" t="str">
        <f>IF(Test!A37="", "", IF(ISNUMBER(FIND("Query",Test!A37)), "AS Query ZMMIMR91 , ZGRIR_ALV", IF(LEFT(Test!A37,1)="7", "AS " &amp; Test!A37, "AS " &amp; IF(Test!B37="",SUBSTITUTE(MID(Test!A37,FIND(",",Test!A37)+1,FIND(",",Test!A37,FIND(",",Test!A37)+1)-FIND(",",Test!A37)-1),"Cube ",""),LEFT(Test!B37,FIND(",",Test!B37)-1)))))</f>
        <v/>
      </c>
      <c r="B37" t="str">
        <f>IF(ISNUMBER(SEARCH("Query", Test!A37)), MID(Test!A37,FIND(",", Test!A37,FIND(",", Test!A37,FIND(",", Test!A37)+1)+1)+1, FIND(",", Test!A37,FIND(",", Test!A37,FIND(",", Test!A37,FIND(",", Test!A37)+1)+1)+1)-FIND(",", Test!A37,FIND(",", Test!A37,FIND(",", Test!A37)+1)+1)-1), IF(Test!B37&lt;&gt;"",MID(Test!B37,FIND(",",Test!B37)+1,FIND(",",Test!B37,FIND(",",Test!B37)+1)-FIND(",",Test!B37)-1),IF(Test!A37&lt;&gt;"",MID(Test!A37,FIND(",",Test!A37,FIND(",",Test!A37)+1)+1,FIND(",",Test!A37,FIND(",",Test!A37,FIND(",",Test!A37)+1)+1)-FIND(",",Test!A37,FIND(",",Test!A37)+1)-1),"")))</f>
        <v/>
      </c>
      <c r="C37" t="str">
        <f>IF(ISNUMBER(FIND("Query",Test!A37)),RIGHT(Test!A37,LEN(Test!A37)-FIND(",",Test!A37,FIND(",",Test!A37,FIND(",",Test!A37,FIND(",",Test!A37)+1)+1)+1)),IF(Test!B37&lt;&gt;"",RIGHT(Test!B37,LEN(Test!B37)-FIND(",",Test!B37,FIND(",",Test!B37)+1)),IF(Test!A37&lt;&gt;"",MID(Test!A37,FIND(",",Test!A37,FIND(",",Test!A37,FIND(",",Test!A37)+1)+1)+1,LEN(Test!A37)-FIND(",",Test!A37,FIND(",",Test!A37,FIND(",",Test!A37)+1)+1)),""))) &amp; IF(Test!C37&lt;&gt;"", " " &amp; SUBSTITUTE(Test!C37,"-",""), "")</f>
        <v/>
      </c>
    </row>
    <row r="38" spans="1:3" x14ac:dyDescent="0.25">
      <c r="A38" t="str">
        <f>IF(Test!A38="", "", IF(ISNUMBER(FIND("Query",Test!A38)), "AS Query ZMMIMR91 , ZGRIR_ALV", IF(LEFT(Test!A38,1)="7", "AS " &amp; Test!A38, "AS " &amp; IF(Test!B38="",SUBSTITUTE(MID(Test!A38,FIND(",",Test!A38)+1,FIND(",",Test!A38,FIND(",",Test!A38)+1)-FIND(",",Test!A38)-1),"Cube ",""),LEFT(Test!B38,FIND(",",Test!B38)-1)))))</f>
        <v/>
      </c>
      <c r="B38" t="str">
        <f>IF(ISNUMBER(SEARCH("Query", Test!A38)), MID(Test!A38,FIND(",", Test!A38,FIND(",", Test!A38,FIND(",", Test!A38)+1)+1)+1, FIND(",", Test!A38,FIND(",", Test!A38,FIND(",", Test!A38,FIND(",", Test!A38)+1)+1)+1)-FIND(",", Test!A38,FIND(",", Test!A38,FIND(",", Test!A38)+1)+1)-1), IF(Test!B38&lt;&gt;"",MID(Test!B38,FIND(",",Test!B38)+1,FIND(",",Test!B38,FIND(",",Test!B38)+1)-FIND(",",Test!B38)-1),IF(Test!A38&lt;&gt;"",MID(Test!A38,FIND(",",Test!A38,FIND(",",Test!A38)+1)+1,FIND(",",Test!A38,FIND(",",Test!A38,FIND(",",Test!A38)+1)+1)-FIND(",",Test!A38,FIND(",",Test!A38)+1)-1),"")))</f>
        <v/>
      </c>
      <c r="C38" t="str">
        <f>IF(ISNUMBER(FIND("Query",Test!A38)),RIGHT(Test!A38,LEN(Test!A38)-FIND(",",Test!A38,FIND(",",Test!A38,FIND(",",Test!A38,FIND(",",Test!A38)+1)+1)+1)),IF(Test!B38&lt;&gt;"",RIGHT(Test!B38,LEN(Test!B38)-FIND(",",Test!B38,FIND(",",Test!B38)+1)),IF(Test!A38&lt;&gt;"",MID(Test!A38,FIND(",",Test!A38,FIND(",",Test!A38,FIND(",",Test!A38)+1)+1)+1,LEN(Test!A38)-FIND(",",Test!A38,FIND(",",Test!A38,FIND(",",Test!A38)+1)+1)),""))) &amp; IF(Test!C38&lt;&gt;"", " " &amp; SUBSTITUTE(Test!C38,"-",""), "")</f>
        <v/>
      </c>
    </row>
    <row r="39" spans="1:3" x14ac:dyDescent="0.25">
      <c r="A39" t="str">
        <f>IF(Test!A39="", "", IF(ISNUMBER(FIND("Query",Test!A39)), "AS Query ZMMIMR91 , ZGRIR_ALV", IF(LEFT(Test!A39,1)="7", "AS " &amp; Test!A39, "AS " &amp; IF(Test!B39="",SUBSTITUTE(MID(Test!A39,FIND(",",Test!A39)+1,FIND(",",Test!A39,FIND(",",Test!A39)+1)-FIND(",",Test!A39)-1),"Cube ",""),LEFT(Test!B39,FIND(",",Test!B39)-1)))))</f>
        <v/>
      </c>
      <c r="B39" t="str">
        <f>IF(ISNUMBER(SEARCH("Query", Test!A39)), MID(Test!A39,FIND(",", Test!A39,FIND(",", Test!A39,FIND(",", Test!A39)+1)+1)+1, FIND(",", Test!A39,FIND(",", Test!A39,FIND(",", Test!A39,FIND(",", Test!A39)+1)+1)+1)-FIND(",", Test!A39,FIND(",", Test!A39,FIND(",", Test!A39)+1)+1)-1), IF(Test!B39&lt;&gt;"",MID(Test!B39,FIND(",",Test!B39)+1,FIND(",",Test!B39,FIND(",",Test!B39)+1)-FIND(",",Test!B39)-1),IF(Test!A39&lt;&gt;"",MID(Test!A39,FIND(",",Test!A39,FIND(",",Test!A39)+1)+1,FIND(",",Test!A39,FIND(",",Test!A39,FIND(",",Test!A39)+1)+1)-FIND(",",Test!A39,FIND(",",Test!A39)+1)-1),"")))</f>
        <v/>
      </c>
      <c r="C39" t="str">
        <f>IF(ISNUMBER(FIND("Query",Test!A39)),RIGHT(Test!A39,LEN(Test!A39)-FIND(",",Test!A39,FIND(",",Test!A39,FIND(",",Test!A39,FIND(",",Test!A39)+1)+1)+1)),IF(Test!B39&lt;&gt;"",RIGHT(Test!B39,LEN(Test!B39)-FIND(",",Test!B39,FIND(",",Test!B39)+1)),IF(Test!A39&lt;&gt;"",MID(Test!A39,FIND(",",Test!A39,FIND(",",Test!A39,FIND(",",Test!A39)+1)+1)+1,LEN(Test!A39)-FIND(",",Test!A39,FIND(",",Test!A39,FIND(",",Test!A39)+1)+1)),""))) &amp; IF(Test!C39&lt;&gt;"", " " &amp; SUBSTITUTE(Test!C39,"-",""), "")</f>
        <v/>
      </c>
    </row>
    <row r="40" spans="1:3" x14ac:dyDescent="0.25">
      <c r="A40" t="str">
        <f>IF(Test!A40="", "", IF(ISNUMBER(FIND("Query",Test!A40)), "AS Query ZMMIMR91 , ZGRIR_ALV", IF(LEFT(Test!A40,1)="7", "AS " &amp; Test!A40, "AS " &amp; IF(Test!B40="",SUBSTITUTE(MID(Test!A40,FIND(",",Test!A40)+1,FIND(",",Test!A40,FIND(",",Test!A40)+1)-FIND(",",Test!A40)-1),"Cube ",""),LEFT(Test!B40,FIND(",",Test!B40)-1)))))</f>
        <v/>
      </c>
      <c r="B40" t="str">
        <f>IF(ISNUMBER(SEARCH("Query", Test!A40)), MID(Test!A40,FIND(",", Test!A40,FIND(",", Test!A40,FIND(",", Test!A40)+1)+1)+1, FIND(",", Test!A40,FIND(",", Test!A40,FIND(",", Test!A40,FIND(",", Test!A40)+1)+1)+1)-FIND(",", Test!A40,FIND(",", Test!A40,FIND(",", Test!A40)+1)+1)-1), IF(Test!B40&lt;&gt;"",MID(Test!B40,FIND(",",Test!B40)+1,FIND(",",Test!B40,FIND(",",Test!B40)+1)-FIND(",",Test!B40)-1),IF(Test!A40&lt;&gt;"",MID(Test!A40,FIND(",",Test!A40,FIND(",",Test!A40)+1)+1,FIND(",",Test!A40,FIND(",",Test!A40,FIND(",",Test!A40)+1)+1)-FIND(",",Test!A40,FIND(",",Test!A40)+1)-1),"")))</f>
        <v/>
      </c>
      <c r="C40" t="str">
        <f>IF(ISNUMBER(FIND("Query",Test!A40)),RIGHT(Test!A40,LEN(Test!A40)-FIND(",",Test!A40,FIND(",",Test!A40,FIND(",",Test!A40,FIND(",",Test!A40)+1)+1)+1)),IF(Test!B40&lt;&gt;"",RIGHT(Test!B40,LEN(Test!B40)-FIND(",",Test!B40,FIND(",",Test!B40)+1)),IF(Test!A40&lt;&gt;"",MID(Test!A40,FIND(",",Test!A40,FIND(",",Test!A40,FIND(",",Test!A40)+1)+1)+1,LEN(Test!A40)-FIND(",",Test!A40,FIND(",",Test!A40,FIND(",",Test!A40)+1)+1)),""))) &amp; IF(Test!C40&lt;&gt;"", " " &amp; SUBSTITUTE(Test!C40,"-",""), "")</f>
        <v/>
      </c>
    </row>
    <row r="41" spans="1:3" x14ac:dyDescent="0.25">
      <c r="A41" t="str">
        <f>IF(Test!A41="", "", IF(ISNUMBER(FIND("Query",Test!A41)), "AS Query ZMMIMR91 , ZGRIR_ALV", IF(LEFT(Test!A41,1)="7", "AS " &amp; Test!A41, "AS " &amp; IF(Test!B41="",SUBSTITUTE(MID(Test!A41,FIND(",",Test!A41)+1,FIND(",",Test!A41,FIND(",",Test!A41)+1)-FIND(",",Test!A41)-1),"Cube ",""),LEFT(Test!B41,FIND(",",Test!B41)-1)))))</f>
        <v/>
      </c>
      <c r="B41" t="str">
        <f>IF(ISNUMBER(SEARCH("Query", Test!A41)), MID(Test!A41,FIND(",", Test!A41,FIND(",", Test!A41,FIND(",", Test!A41)+1)+1)+1, FIND(",", Test!A41,FIND(",", Test!A41,FIND(",", Test!A41,FIND(",", Test!A41)+1)+1)+1)-FIND(",", Test!A41,FIND(",", Test!A41,FIND(",", Test!A41)+1)+1)-1), IF(Test!B41&lt;&gt;"",MID(Test!B41,FIND(",",Test!B41)+1,FIND(",",Test!B41,FIND(",",Test!B41)+1)-FIND(",",Test!B41)-1),IF(Test!A41&lt;&gt;"",MID(Test!A41,FIND(",",Test!A41,FIND(",",Test!A41)+1)+1,FIND(",",Test!A41,FIND(",",Test!A41,FIND(",",Test!A41)+1)+1)-FIND(",",Test!A41,FIND(",",Test!A41)+1)-1),"")))</f>
        <v/>
      </c>
      <c r="C41" t="str">
        <f>IF(ISNUMBER(FIND("Query",Test!A41)),RIGHT(Test!A41,LEN(Test!A41)-FIND(",",Test!A41,FIND(",",Test!A41,FIND(",",Test!A41,FIND(",",Test!A41)+1)+1)+1)),IF(Test!B41&lt;&gt;"",RIGHT(Test!B41,LEN(Test!B41)-FIND(",",Test!B41,FIND(",",Test!B41)+1)),IF(Test!A41&lt;&gt;"",MID(Test!A41,FIND(",",Test!A41,FIND(",",Test!A41,FIND(",",Test!A41)+1)+1)+1,LEN(Test!A41)-FIND(",",Test!A41,FIND(",",Test!A41,FIND(",",Test!A41)+1)+1)),""))) &amp; IF(Test!C41&lt;&gt;"", " " &amp; SUBSTITUTE(Test!C41,"-",""), "")</f>
        <v/>
      </c>
    </row>
    <row r="42" spans="1:3" x14ac:dyDescent="0.25">
      <c r="A42" t="str">
        <f>IF(Test!A42="", "", IF(ISNUMBER(FIND("Query",Test!A42)), "AS Query ZMMIMR91 , ZGRIR_ALV", IF(LEFT(Test!A42,1)="7", "AS " &amp; Test!A42, "AS " &amp; IF(Test!B42="",SUBSTITUTE(MID(Test!A42,FIND(",",Test!A42)+1,FIND(",",Test!A42,FIND(",",Test!A42)+1)-FIND(",",Test!A42)-1),"Cube ",""),LEFT(Test!B42,FIND(",",Test!B42)-1)))))</f>
        <v/>
      </c>
      <c r="B42" t="str">
        <f>IF(ISNUMBER(SEARCH("Query", Test!A42)), MID(Test!A42,FIND(",", Test!A42,FIND(",", Test!A42,FIND(",", Test!A42)+1)+1)+1, FIND(",", Test!A42,FIND(",", Test!A42,FIND(",", Test!A42,FIND(",", Test!A42)+1)+1)+1)-FIND(",", Test!A42,FIND(",", Test!A42,FIND(",", Test!A42)+1)+1)-1), IF(Test!B42&lt;&gt;"",MID(Test!B42,FIND(",",Test!B42)+1,FIND(",",Test!B42,FIND(",",Test!B42)+1)-FIND(",",Test!B42)-1),IF(Test!A42&lt;&gt;"",MID(Test!A42,FIND(",",Test!A42,FIND(",",Test!A42)+1)+1,FIND(",",Test!A42,FIND(",",Test!A42,FIND(",",Test!A42)+1)+1)-FIND(",",Test!A42,FIND(",",Test!A42)+1)-1),"")))</f>
        <v/>
      </c>
      <c r="C42" t="str">
        <f>IF(ISNUMBER(FIND("Query",Test!A42)),RIGHT(Test!A42,LEN(Test!A42)-FIND(",",Test!A42,FIND(",",Test!A42,FIND(",",Test!A42,FIND(",",Test!A42)+1)+1)+1)),IF(Test!B42&lt;&gt;"",RIGHT(Test!B42,LEN(Test!B42)-FIND(",",Test!B42,FIND(",",Test!B42)+1)),IF(Test!A42&lt;&gt;"",MID(Test!A42,FIND(",",Test!A42,FIND(",",Test!A42,FIND(",",Test!A42)+1)+1)+1,LEN(Test!A42)-FIND(",",Test!A42,FIND(",",Test!A42,FIND(",",Test!A42)+1)+1)),""))) &amp; IF(Test!C42&lt;&gt;"", " " &amp; SUBSTITUTE(Test!C42,"-",""), "")</f>
        <v/>
      </c>
    </row>
    <row r="43" spans="1:3" x14ac:dyDescent="0.25">
      <c r="A43" t="str">
        <f>IF(Test!A43="", "", IF(ISNUMBER(FIND("Query",Test!A43)), "AS Query ZMMIMR91 , ZGRIR_ALV", IF(LEFT(Test!A43,1)="7", "AS " &amp; Test!A43, "AS " &amp; IF(Test!B43="",SUBSTITUTE(MID(Test!A43,FIND(",",Test!A43)+1,FIND(",",Test!A43,FIND(",",Test!A43)+1)-FIND(",",Test!A43)-1),"Cube ",""),LEFT(Test!B43,FIND(",",Test!B43)-1)))))</f>
        <v/>
      </c>
      <c r="B43" t="str">
        <f>IF(ISNUMBER(SEARCH("Query", Test!A43)), MID(Test!A43,FIND(",", Test!A43,FIND(",", Test!A43,FIND(",", Test!A43)+1)+1)+1, FIND(",", Test!A43,FIND(",", Test!A43,FIND(",", Test!A43,FIND(",", Test!A43)+1)+1)+1)-FIND(",", Test!A43,FIND(",", Test!A43,FIND(",", Test!A43)+1)+1)-1), IF(Test!B43&lt;&gt;"",MID(Test!B43,FIND(",",Test!B43)+1,FIND(",",Test!B43,FIND(",",Test!B43)+1)-FIND(",",Test!B43)-1),IF(Test!A43&lt;&gt;"",MID(Test!A43,FIND(",",Test!A43,FIND(",",Test!A43)+1)+1,FIND(",",Test!A43,FIND(",",Test!A43,FIND(",",Test!A43)+1)+1)-FIND(",",Test!A43,FIND(",",Test!A43)+1)-1),"")))</f>
        <v/>
      </c>
      <c r="C43" t="str">
        <f>IF(ISNUMBER(FIND("Query",Test!A43)),RIGHT(Test!A43,LEN(Test!A43)-FIND(",",Test!A43,FIND(",",Test!A43,FIND(",",Test!A43,FIND(",",Test!A43)+1)+1)+1)),IF(Test!B43&lt;&gt;"",RIGHT(Test!B43,LEN(Test!B43)-FIND(",",Test!B43,FIND(",",Test!B43)+1)),IF(Test!A43&lt;&gt;"",MID(Test!A43,FIND(",",Test!A43,FIND(",",Test!A43,FIND(",",Test!A43)+1)+1)+1,LEN(Test!A43)-FIND(",",Test!A43,FIND(",",Test!A43,FIND(",",Test!A43)+1)+1)),""))) &amp; IF(Test!C43&lt;&gt;"", " " &amp; SUBSTITUTE(Test!C43,"-",""), "")</f>
        <v/>
      </c>
    </row>
    <row r="44" spans="1:3" x14ac:dyDescent="0.25">
      <c r="A44" t="str">
        <f>IF(Test!A44="", "", IF(ISNUMBER(FIND("Query",Test!A44)), "AS Query ZMMIMR91 , ZGRIR_ALV", IF(LEFT(Test!A44,1)="7", "AS " &amp; Test!A44, "AS " &amp; IF(Test!B44="",SUBSTITUTE(MID(Test!A44,FIND(",",Test!A44)+1,FIND(",",Test!A44,FIND(",",Test!A44)+1)-FIND(",",Test!A44)-1),"Cube ",""),LEFT(Test!B44,FIND(",",Test!B44)-1)))))</f>
        <v/>
      </c>
      <c r="B44" t="str">
        <f>IF(ISNUMBER(SEARCH("Query", Test!A44)), MID(Test!A44,FIND(",", Test!A44,FIND(",", Test!A44,FIND(",", Test!A44)+1)+1)+1, FIND(",", Test!A44,FIND(",", Test!A44,FIND(",", Test!A44,FIND(",", Test!A44)+1)+1)+1)-FIND(",", Test!A44,FIND(",", Test!A44,FIND(",", Test!A44)+1)+1)-1), IF(Test!B44&lt;&gt;"",MID(Test!B44,FIND(",",Test!B44)+1,FIND(",",Test!B44,FIND(",",Test!B44)+1)-FIND(",",Test!B44)-1),IF(Test!A44&lt;&gt;"",MID(Test!A44,FIND(",",Test!A44,FIND(",",Test!A44)+1)+1,FIND(",",Test!A44,FIND(",",Test!A44,FIND(",",Test!A44)+1)+1)-FIND(",",Test!A44,FIND(",",Test!A44)+1)-1),"")))</f>
        <v/>
      </c>
      <c r="C44" t="str">
        <f>IF(ISNUMBER(FIND("Query",Test!A44)),RIGHT(Test!A44,LEN(Test!A44)-FIND(",",Test!A44,FIND(",",Test!A44,FIND(",",Test!A44,FIND(",",Test!A44)+1)+1)+1)),IF(Test!B44&lt;&gt;"",RIGHT(Test!B44,LEN(Test!B44)-FIND(",",Test!B44,FIND(",",Test!B44)+1)),IF(Test!A44&lt;&gt;"",MID(Test!A44,FIND(",",Test!A44,FIND(",",Test!A44,FIND(",",Test!A44)+1)+1)+1,LEN(Test!A44)-FIND(",",Test!A44,FIND(",",Test!A44,FIND(",",Test!A44)+1)+1)),""))) &amp; IF(Test!C44&lt;&gt;"", " " &amp; SUBSTITUTE(Test!C44,"-",""), "")</f>
        <v/>
      </c>
    </row>
    <row r="45" spans="1:3" x14ac:dyDescent="0.25">
      <c r="A45" t="str">
        <f>IF(Test!A45="", "", IF(ISNUMBER(FIND("Query",Test!A45)), "AS Query ZMMIMR91 , ZGRIR_ALV", IF(LEFT(Test!A45,1)="7", "AS " &amp; Test!A45, "AS " &amp; IF(Test!B45="",SUBSTITUTE(MID(Test!A45,FIND(",",Test!A45)+1,FIND(",",Test!A45,FIND(",",Test!A45)+1)-FIND(",",Test!A45)-1),"Cube ",""),LEFT(Test!B45,FIND(",",Test!B45)-1)))))</f>
        <v/>
      </c>
      <c r="B45" t="str">
        <f>IF(ISNUMBER(SEARCH("Query", Test!A45)), MID(Test!A45,FIND(",", Test!A45,FIND(",", Test!A45,FIND(",", Test!A45)+1)+1)+1, FIND(",", Test!A45,FIND(",", Test!A45,FIND(",", Test!A45,FIND(",", Test!A45)+1)+1)+1)-FIND(",", Test!A45,FIND(",", Test!A45,FIND(",", Test!A45)+1)+1)-1), IF(Test!B45&lt;&gt;"",MID(Test!B45,FIND(",",Test!B45)+1,FIND(",",Test!B45,FIND(",",Test!B45)+1)-FIND(",",Test!B45)-1),IF(Test!A45&lt;&gt;"",MID(Test!A45,FIND(",",Test!A45,FIND(",",Test!A45)+1)+1,FIND(",",Test!A45,FIND(",",Test!A45,FIND(",",Test!A45)+1)+1)-FIND(",",Test!A45,FIND(",",Test!A45)+1)-1),"")))</f>
        <v/>
      </c>
      <c r="C45" t="str">
        <f>IF(ISNUMBER(FIND("Query",Test!A45)),RIGHT(Test!A45,LEN(Test!A45)-FIND(",",Test!A45,FIND(",",Test!A45,FIND(",",Test!A45,FIND(",",Test!A45)+1)+1)+1)),IF(Test!B45&lt;&gt;"",RIGHT(Test!B45,LEN(Test!B45)-FIND(",",Test!B45,FIND(",",Test!B45)+1)),IF(Test!A45&lt;&gt;"",MID(Test!A45,FIND(",",Test!A45,FIND(",",Test!A45,FIND(",",Test!A45)+1)+1)+1,LEN(Test!A45)-FIND(",",Test!A45,FIND(",",Test!A45,FIND(",",Test!A45)+1)+1)),""))) &amp; IF(Test!C45&lt;&gt;"", " " &amp; SUBSTITUTE(Test!C45,"-",""), "")</f>
        <v/>
      </c>
    </row>
    <row r="46" spans="1:3" x14ac:dyDescent="0.25">
      <c r="A46" t="str">
        <f>IF(Test!A46="", "", IF(ISNUMBER(FIND("Query",Test!A46)), "AS Query ZMMIMR91 , ZGRIR_ALV", IF(LEFT(Test!A46,1)="7", "AS " &amp; Test!A46, "AS " &amp; IF(Test!B46="",SUBSTITUTE(MID(Test!A46,FIND(",",Test!A46)+1,FIND(",",Test!A46,FIND(",",Test!A46)+1)-FIND(",",Test!A46)-1),"Cube ",""),LEFT(Test!B46,FIND(",",Test!B46)-1)))))</f>
        <v/>
      </c>
      <c r="B46" t="str">
        <f>IF(ISNUMBER(SEARCH("Query", Test!A46)), MID(Test!A46,FIND(",", Test!A46,FIND(",", Test!A46,FIND(",", Test!A46)+1)+1)+1, FIND(",", Test!A46,FIND(",", Test!A46,FIND(",", Test!A46,FIND(",", Test!A46)+1)+1)+1)-FIND(",", Test!A46,FIND(",", Test!A46,FIND(",", Test!A46)+1)+1)-1), IF(Test!B46&lt;&gt;"",MID(Test!B46,FIND(",",Test!B46)+1,FIND(",",Test!B46,FIND(",",Test!B46)+1)-FIND(",",Test!B46)-1),IF(Test!A46&lt;&gt;"",MID(Test!A46,FIND(",",Test!A46,FIND(",",Test!A46)+1)+1,FIND(",",Test!A46,FIND(",",Test!A46,FIND(",",Test!A46)+1)+1)-FIND(",",Test!A46,FIND(",",Test!A46)+1)-1),"")))</f>
        <v/>
      </c>
      <c r="C46" t="str">
        <f>IF(ISNUMBER(FIND("Query",Test!A46)),RIGHT(Test!A46,LEN(Test!A46)-FIND(",",Test!A46,FIND(",",Test!A46,FIND(",",Test!A46,FIND(",",Test!A46)+1)+1)+1)),IF(Test!B46&lt;&gt;"",RIGHT(Test!B46,LEN(Test!B46)-FIND(",",Test!B46,FIND(",",Test!B46)+1)),IF(Test!A46&lt;&gt;"",MID(Test!A46,FIND(",",Test!A46,FIND(",",Test!A46,FIND(",",Test!A46)+1)+1)+1,LEN(Test!A46)-FIND(",",Test!A46,FIND(",",Test!A46,FIND(",",Test!A46)+1)+1)),""))) &amp; IF(Test!C46&lt;&gt;"", " " &amp; SUBSTITUTE(Test!C46,"-",""), "")</f>
        <v/>
      </c>
    </row>
    <row r="47" spans="1:3" x14ac:dyDescent="0.25">
      <c r="A47" t="str">
        <f>IF(Test!A47="", "", IF(ISNUMBER(FIND("Query",Test!A47)), "AS Query ZMMIMR91 , ZGRIR_ALV", IF(LEFT(Test!A47,1)="7", "AS " &amp; Test!A47, "AS " &amp; IF(Test!B47="",SUBSTITUTE(MID(Test!A47,FIND(",",Test!A47)+1,FIND(",",Test!A47,FIND(",",Test!A47)+1)-FIND(",",Test!A47)-1),"Cube ",""),LEFT(Test!B47,FIND(",",Test!B47)-1)))))</f>
        <v/>
      </c>
      <c r="B47" t="str">
        <f>IF(ISNUMBER(SEARCH("Query", Test!A47)), MID(Test!A47,FIND(",", Test!A47,FIND(",", Test!A47,FIND(",", Test!A47)+1)+1)+1, FIND(",", Test!A47,FIND(",", Test!A47,FIND(",", Test!A47,FIND(",", Test!A47)+1)+1)+1)-FIND(",", Test!A47,FIND(",", Test!A47,FIND(",", Test!A47)+1)+1)-1), IF(Test!B47&lt;&gt;"",MID(Test!B47,FIND(",",Test!B47)+1,FIND(",",Test!B47,FIND(",",Test!B47)+1)-FIND(",",Test!B47)-1),IF(Test!A47&lt;&gt;"",MID(Test!A47,FIND(",",Test!A47,FIND(",",Test!A47)+1)+1,FIND(",",Test!A47,FIND(",",Test!A47,FIND(",",Test!A47)+1)+1)-FIND(",",Test!A47,FIND(",",Test!A47)+1)-1),"")))</f>
        <v/>
      </c>
      <c r="C47" t="str">
        <f>IF(ISNUMBER(FIND("Query",Test!A47)),RIGHT(Test!A47,LEN(Test!A47)-FIND(",",Test!A47,FIND(",",Test!A47,FIND(",",Test!A47,FIND(",",Test!A47)+1)+1)+1)),IF(Test!B47&lt;&gt;"",RIGHT(Test!B47,LEN(Test!B47)-FIND(",",Test!B47,FIND(",",Test!B47)+1)),IF(Test!A47&lt;&gt;"",MID(Test!A47,FIND(",",Test!A47,FIND(",",Test!A47,FIND(",",Test!A47)+1)+1)+1,LEN(Test!A47)-FIND(",",Test!A47,FIND(",",Test!A47,FIND(",",Test!A47)+1)+1)),""))) &amp; IF(Test!C47&lt;&gt;"", " " &amp; SUBSTITUTE(Test!C47,"-",""), "")</f>
        <v/>
      </c>
    </row>
    <row r="48" spans="1:3" x14ac:dyDescent="0.25">
      <c r="A48" t="str">
        <f>IF(Test!A48="", "", IF(ISNUMBER(FIND("Query",Test!A48)), "AS Query ZMMIMR91 , ZGRIR_ALV", IF(LEFT(Test!A48,1)="7", "AS " &amp; Test!A48, "AS " &amp; IF(Test!B48="",SUBSTITUTE(MID(Test!A48,FIND(",",Test!A48)+1,FIND(",",Test!A48,FIND(",",Test!A48)+1)-FIND(",",Test!A48)-1),"Cube ",""),LEFT(Test!B48,FIND(",",Test!B48)-1)))))</f>
        <v/>
      </c>
      <c r="B48" t="str">
        <f>IF(ISNUMBER(SEARCH("Query", Test!A48)), MID(Test!A48,FIND(",", Test!A48,FIND(",", Test!A48,FIND(",", Test!A48)+1)+1)+1, FIND(",", Test!A48,FIND(",", Test!A48,FIND(",", Test!A48,FIND(",", Test!A48)+1)+1)+1)-FIND(",", Test!A48,FIND(",", Test!A48,FIND(",", Test!A48)+1)+1)-1), IF(Test!B48&lt;&gt;"",MID(Test!B48,FIND(",",Test!B48)+1,FIND(",",Test!B48,FIND(",",Test!B48)+1)-FIND(",",Test!B48)-1),IF(Test!A48&lt;&gt;"",MID(Test!A48,FIND(",",Test!A48,FIND(",",Test!A48)+1)+1,FIND(",",Test!A48,FIND(",",Test!A48,FIND(",",Test!A48)+1)+1)-FIND(",",Test!A48,FIND(",",Test!A48)+1)-1),"")))</f>
        <v/>
      </c>
      <c r="C48" t="str">
        <f>IF(ISNUMBER(FIND("Query",Test!A48)),RIGHT(Test!A48,LEN(Test!A48)-FIND(",",Test!A48,FIND(",",Test!A48,FIND(",",Test!A48,FIND(",",Test!A48)+1)+1)+1)),IF(Test!B48&lt;&gt;"",RIGHT(Test!B48,LEN(Test!B48)-FIND(",",Test!B48,FIND(",",Test!B48)+1)),IF(Test!A48&lt;&gt;"",MID(Test!A48,FIND(",",Test!A48,FIND(",",Test!A48,FIND(",",Test!A48)+1)+1)+1,LEN(Test!A48)-FIND(",",Test!A48,FIND(",",Test!A48,FIND(",",Test!A48)+1)+1)),""))) &amp; IF(Test!C48&lt;&gt;"", " " &amp; SUBSTITUTE(Test!C48,"-",""), "")</f>
        <v/>
      </c>
    </row>
    <row r="49" spans="1:3" x14ac:dyDescent="0.25">
      <c r="A49" t="str">
        <f>IF(Test!A49="", "", IF(ISNUMBER(FIND("Query",Test!A49)), "AS Query ZMMIMR91 , ZGRIR_ALV", IF(LEFT(Test!A49,1)="7", "AS " &amp; Test!A49, "AS " &amp; IF(Test!B49="",SUBSTITUTE(MID(Test!A49,FIND(",",Test!A49)+1,FIND(",",Test!A49,FIND(",",Test!A49)+1)-FIND(",",Test!A49)-1),"Cube ",""),LEFT(Test!B49,FIND(",",Test!B49)-1)))))</f>
        <v/>
      </c>
      <c r="B49" t="str">
        <f>IF(ISNUMBER(SEARCH("Query", Test!A49)), MID(Test!A49,FIND(",", Test!A49,FIND(",", Test!A49,FIND(",", Test!A49)+1)+1)+1, FIND(",", Test!A49,FIND(",", Test!A49,FIND(",", Test!A49,FIND(",", Test!A49)+1)+1)+1)-FIND(",", Test!A49,FIND(",", Test!A49,FIND(",", Test!A49)+1)+1)-1), IF(Test!B49&lt;&gt;"",MID(Test!B49,FIND(",",Test!B49)+1,FIND(",",Test!B49,FIND(",",Test!B49)+1)-FIND(",",Test!B49)-1),IF(Test!A49&lt;&gt;"",MID(Test!A49,FIND(",",Test!A49,FIND(",",Test!A49)+1)+1,FIND(",",Test!A49,FIND(",",Test!A49,FIND(",",Test!A49)+1)+1)-FIND(",",Test!A49,FIND(",",Test!A49)+1)-1),"")))</f>
        <v/>
      </c>
      <c r="C49" t="str">
        <f>IF(ISNUMBER(FIND("Query",Test!A49)),RIGHT(Test!A49,LEN(Test!A49)-FIND(",",Test!A49,FIND(",",Test!A49,FIND(",",Test!A49,FIND(",",Test!A49)+1)+1)+1)),IF(Test!B49&lt;&gt;"",RIGHT(Test!B49,LEN(Test!B49)-FIND(",",Test!B49,FIND(",",Test!B49)+1)),IF(Test!A49&lt;&gt;"",MID(Test!A49,FIND(",",Test!A49,FIND(",",Test!A49,FIND(",",Test!A49)+1)+1)+1,LEN(Test!A49)-FIND(",",Test!A49,FIND(",",Test!A49,FIND(",",Test!A49)+1)+1)),""))) &amp; IF(Test!C49&lt;&gt;"", " " &amp; SUBSTITUTE(Test!C49,"-",""), "")</f>
        <v/>
      </c>
    </row>
    <row r="50" spans="1:3" x14ac:dyDescent="0.25">
      <c r="A50" t="str">
        <f>IF(Test!A50="", "", IF(ISNUMBER(FIND("Query",Test!A50)), "AS Query ZMMIMR91 , ZGRIR_ALV", IF(LEFT(Test!A50,1)="7", "AS " &amp; Test!A50, "AS " &amp; IF(Test!B50="",SUBSTITUTE(MID(Test!A50,FIND(",",Test!A50)+1,FIND(",",Test!A50,FIND(",",Test!A50)+1)-FIND(",",Test!A50)-1),"Cube ",""),LEFT(Test!B50,FIND(",",Test!B50)-1)))))</f>
        <v/>
      </c>
      <c r="B50" t="str">
        <f>IF(ISNUMBER(SEARCH("Query", Test!A50)), MID(Test!A50,FIND(",", Test!A50,FIND(",", Test!A50,FIND(",", Test!A50)+1)+1)+1, FIND(",", Test!A50,FIND(",", Test!A50,FIND(",", Test!A50,FIND(",", Test!A50)+1)+1)+1)-FIND(",", Test!A50,FIND(",", Test!A50,FIND(",", Test!A50)+1)+1)-1), IF(Test!B50&lt;&gt;"",MID(Test!B50,FIND(",",Test!B50)+1,FIND(",",Test!B50,FIND(",",Test!B50)+1)-FIND(",",Test!B50)-1),IF(Test!A50&lt;&gt;"",MID(Test!A50,FIND(",",Test!A50,FIND(",",Test!A50)+1)+1,FIND(",",Test!A50,FIND(",",Test!A50,FIND(",",Test!A50)+1)+1)-FIND(",",Test!A50,FIND(",",Test!A50)+1)-1),"")))</f>
        <v/>
      </c>
      <c r="C50" t="str">
        <f>IF(ISNUMBER(FIND("Query",Test!A50)),RIGHT(Test!A50,LEN(Test!A50)-FIND(",",Test!A50,FIND(",",Test!A50,FIND(",",Test!A50,FIND(",",Test!A50)+1)+1)+1)),IF(Test!B50&lt;&gt;"",RIGHT(Test!B50,LEN(Test!B50)-FIND(",",Test!B50,FIND(",",Test!B50)+1)),IF(Test!A50&lt;&gt;"",MID(Test!A50,FIND(",",Test!A50,FIND(",",Test!A50,FIND(",",Test!A50)+1)+1)+1,LEN(Test!A50)-FIND(",",Test!A50,FIND(",",Test!A50,FIND(",",Test!A50)+1)+1)),""))) &amp; IF(Test!C50&lt;&gt;"", " " &amp; SUBSTITUTE(Test!C50,"-",""), "")</f>
        <v/>
      </c>
    </row>
    <row r="51" spans="1:3" x14ac:dyDescent="0.25">
      <c r="A51" t="str">
        <f>IF(Test!A51="", "", IF(ISNUMBER(FIND("Query",Test!A51)), "AS Query ZMMIMR91 , ZGRIR_ALV", IF(LEFT(Test!A51,1)="7", "AS " &amp; Test!A51, "AS " &amp; IF(Test!B51="",SUBSTITUTE(MID(Test!A51,FIND(",",Test!A51)+1,FIND(",",Test!A51,FIND(",",Test!A51)+1)-FIND(",",Test!A51)-1),"Cube ",""),LEFT(Test!B51,FIND(",",Test!B51)-1)))))</f>
        <v/>
      </c>
      <c r="B51" t="str">
        <f>IF(ISNUMBER(SEARCH("Query", Test!A51)), MID(Test!A51,FIND(",", Test!A51,FIND(",", Test!A51,FIND(",", Test!A51)+1)+1)+1, FIND(",", Test!A51,FIND(",", Test!A51,FIND(",", Test!A51,FIND(",", Test!A51)+1)+1)+1)-FIND(",", Test!A51,FIND(",", Test!A51,FIND(",", Test!A51)+1)+1)-1), IF(Test!B51&lt;&gt;"",MID(Test!B51,FIND(",",Test!B51)+1,FIND(",",Test!B51,FIND(",",Test!B51)+1)-FIND(",",Test!B51)-1),IF(Test!A51&lt;&gt;"",MID(Test!A51,FIND(",",Test!A51,FIND(",",Test!A51)+1)+1,FIND(",",Test!A51,FIND(",",Test!A51,FIND(",",Test!A51)+1)+1)-FIND(",",Test!A51,FIND(",",Test!A51)+1)-1),"")))</f>
        <v/>
      </c>
      <c r="C51" t="str">
        <f>IF(ISNUMBER(FIND("Query",Test!A51)),RIGHT(Test!A51,LEN(Test!A51)-FIND(",",Test!A51,FIND(",",Test!A51,FIND(",",Test!A51,FIND(",",Test!A51)+1)+1)+1)),IF(Test!B51&lt;&gt;"",RIGHT(Test!B51,LEN(Test!B51)-FIND(",",Test!B51,FIND(",",Test!B51)+1)),IF(Test!A51&lt;&gt;"",MID(Test!A51,FIND(",",Test!A51,FIND(",",Test!A51,FIND(",",Test!A51)+1)+1)+1,LEN(Test!A51)-FIND(",",Test!A51,FIND(",",Test!A51,FIND(",",Test!A51)+1)+1)),""))) &amp; IF(Test!C51&lt;&gt;"", " " &amp; SUBSTITUTE(Test!C51,"-",""), "")</f>
        <v/>
      </c>
    </row>
    <row r="52" spans="1:3" x14ac:dyDescent="0.25">
      <c r="A52" t="str">
        <f>IF(Test!A52="", "", IF(ISNUMBER(FIND("Query",Test!A52)), "AS Query ZMMIMR91 , ZGRIR_ALV", IF(LEFT(Test!A52,1)="7", "AS " &amp; Test!A52, "AS " &amp; IF(Test!B52="",SUBSTITUTE(MID(Test!A52,FIND(",",Test!A52)+1,FIND(",",Test!A52,FIND(",",Test!A52)+1)-FIND(",",Test!A52)-1),"Cube ",""),LEFT(Test!B52,FIND(",",Test!B52)-1)))))</f>
        <v/>
      </c>
      <c r="B52" t="str">
        <f>IF(ISNUMBER(SEARCH("Query", Test!A52)), MID(Test!A52,FIND(",", Test!A52,FIND(",", Test!A52,FIND(",", Test!A52)+1)+1)+1, FIND(",", Test!A52,FIND(",", Test!A52,FIND(",", Test!A52,FIND(",", Test!A52)+1)+1)+1)-FIND(",", Test!A52,FIND(",", Test!A52,FIND(",", Test!A52)+1)+1)-1), IF(Test!B52&lt;&gt;"",MID(Test!B52,FIND(",",Test!B52)+1,FIND(",",Test!B52,FIND(",",Test!B52)+1)-FIND(",",Test!B52)-1),IF(Test!A52&lt;&gt;"",MID(Test!A52,FIND(",",Test!A52,FIND(",",Test!A52)+1)+1,FIND(",",Test!A52,FIND(",",Test!A52,FIND(",",Test!A52)+1)+1)-FIND(",",Test!A52,FIND(",",Test!A52)+1)-1),"")))</f>
        <v/>
      </c>
      <c r="C52" t="str">
        <f>IF(ISNUMBER(FIND("Query",Test!A52)),RIGHT(Test!A52,LEN(Test!A52)-FIND(",",Test!A52,FIND(",",Test!A52,FIND(",",Test!A52,FIND(",",Test!A52)+1)+1)+1)),IF(Test!B52&lt;&gt;"",RIGHT(Test!B52,LEN(Test!B52)-FIND(",",Test!B52,FIND(",",Test!B52)+1)),IF(Test!A52&lt;&gt;"",MID(Test!A52,FIND(",",Test!A52,FIND(",",Test!A52,FIND(",",Test!A52)+1)+1)+1,LEN(Test!A52)-FIND(",",Test!A52,FIND(",",Test!A52,FIND(",",Test!A52)+1)+1)),""))) &amp; IF(Test!C52&lt;&gt;"", " " &amp; SUBSTITUTE(Test!C52,"-",""), "")</f>
        <v/>
      </c>
    </row>
    <row r="53" spans="1:3" x14ac:dyDescent="0.25">
      <c r="A53" t="str">
        <f>IF(Test!A53="", "", IF(ISNUMBER(FIND("Query",Test!A53)), "AS Query ZMMIMR91 , ZGRIR_ALV", IF(LEFT(Test!A53,1)="7", "AS " &amp; Test!A53, "AS " &amp; IF(Test!B53="",SUBSTITUTE(MID(Test!A53,FIND(",",Test!A53)+1,FIND(",",Test!A53,FIND(",",Test!A53)+1)-FIND(",",Test!A53)-1),"Cube ",""),LEFT(Test!B53,FIND(",",Test!B53)-1)))))</f>
        <v/>
      </c>
      <c r="B53" t="str">
        <f>IF(ISNUMBER(SEARCH("Query", Test!A53)), MID(Test!A53,FIND(",", Test!A53,FIND(",", Test!A53,FIND(",", Test!A53)+1)+1)+1, FIND(",", Test!A53,FIND(",", Test!A53,FIND(",", Test!A53,FIND(",", Test!A53)+1)+1)+1)-FIND(",", Test!A53,FIND(",", Test!A53,FIND(",", Test!A53)+1)+1)-1), IF(Test!B53&lt;&gt;"",MID(Test!B53,FIND(",",Test!B53)+1,FIND(",",Test!B53,FIND(",",Test!B53)+1)-FIND(",",Test!B53)-1),IF(Test!A53&lt;&gt;"",MID(Test!A53,FIND(",",Test!A53,FIND(",",Test!A53)+1)+1,FIND(",",Test!A53,FIND(",",Test!A53,FIND(",",Test!A53)+1)+1)-FIND(",",Test!A53,FIND(",",Test!A53)+1)-1),"")))</f>
        <v/>
      </c>
      <c r="C53" t="str">
        <f>IF(ISNUMBER(FIND("Query",Test!A53)),RIGHT(Test!A53,LEN(Test!A53)-FIND(",",Test!A53,FIND(",",Test!A53,FIND(",",Test!A53,FIND(",",Test!A53)+1)+1)+1)),IF(Test!B53&lt;&gt;"",RIGHT(Test!B53,LEN(Test!B53)-FIND(",",Test!B53,FIND(",",Test!B53)+1)),IF(Test!A53&lt;&gt;"",MID(Test!A53,FIND(",",Test!A53,FIND(",",Test!A53,FIND(",",Test!A53)+1)+1)+1,LEN(Test!A53)-FIND(",",Test!A53,FIND(",",Test!A53,FIND(",",Test!A53)+1)+1)),""))) &amp; IF(Test!C53&lt;&gt;"", " " &amp; SUBSTITUTE(Test!C53,"-",""), "")</f>
        <v/>
      </c>
    </row>
    <row r="54" spans="1:3" x14ac:dyDescent="0.25">
      <c r="A54" t="str">
        <f>IF(Test!A54="", "", IF(ISNUMBER(FIND("Query",Test!A54)), "AS Query ZMMIMR91 , ZGRIR_ALV", IF(LEFT(Test!A54,1)="7", "AS " &amp; Test!A54, "AS " &amp; IF(Test!B54="",SUBSTITUTE(MID(Test!A54,FIND(",",Test!A54)+1,FIND(",",Test!A54,FIND(",",Test!A54)+1)-FIND(",",Test!A54)-1),"Cube ",""),LEFT(Test!B54,FIND(",",Test!B54)-1)))))</f>
        <v/>
      </c>
      <c r="B54" t="str">
        <f>IF(ISNUMBER(SEARCH("Query", Test!A54)), MID(Test!A54,FIND(",", Test!A54,FIND(",", Test!A54,FIND(",", Test!A54)+1)+1)+1, FIND(",", Test!A54,FIND(",", Test!A54,FIND(",", Test!A54,FIND(",", Test!A54)+1)+1)+1)-FIND(",", Test!A54,FIND(",", Test!A54,FIND(",", Test!A54)+1)+1)-1), IF(Test!B54&lt;&gt;"",MID(Test!B54,FIND(",",Test!B54)+1,FIND(",",Test!B54,FIND(",",Test!B54)+1)-FIND(",",Test!B54)-1),IF(Test!A54&lt;&gt;"",MID(Test!A54,FIND(",",Test!A54,FIND(",",Test!A54)+1)+1,FIND(",",Test!A54,FIND(",",Test!A54,FIND(",",Test!A54)+1)+1)-FIND(",",Test!A54,FIND(",",Test!A54)+1)-1),"")))</f>
        <v/>
      </c>
      <c r="C54" t="str">
        <f>IF(ISNUMBER(FIND("Query",Test!A54)),RIGHT(Test!A54,LEN(Test!A54)-FIND(",",Test!A54,FIND(",",Test!A54,FIND(",",Test!A54,FIND(",",Test!A54)+1)+1)+1)),IF(Test!B54&lt;&gt;"",RIGHT(Test!B54,LEN(Test!B54)-FIND(",",Test!B54,FIND(",",Test!B54)+1)),IF(Test!A54&lt;&gt;"",MID(Test!A54,FIND(",",Test!A54,FIND(",",Test!A54,FIND(",",Test!A54)+1)+1)+1,LEN(Test!A54)-FIND(",",Test!A54,FIND(",",Test!A54,FIND(",",Test!A54)+1)+1)),""))) &amp; IF(Test!C54&lt;&gt;"", " " &amp; SUBSTITUTE(Test!C54,"-",""), "")</f>
        <v/>
      </c>
    </row>
    <row r="55" spans="1:3" x14ac:dyDescent="0.25">
      <c r="A55" t="str">
        <f>IF(Test!A55="", "", IF(ISNUMBER(FIND("Query",Test!A55)), "AS Query ZMMIMR91 , ZGRIR_ALV", IF(LEFT(Test!A55,1)="7", "AS " &amp; Test!A55, "AS " &amp; IF(Test!B55="",SUBSTITUTE(MID(Test!A55,FIND(",",Test!A55)+1,FIND(",",Test!A55,FIND(",",Test!A55)+1)-FIND(",",Test!A55)-1),"Cube ",""),LEFT(Test!B55,FIND(",",Test!B55)-1)))))</f>
        <v/>
      </c>
      <c r="B55" t="str">
        <f>IF(ISNUMBER(SEARCH("Query", Test!A55)), MID(Test!A55,FIND(",", Test!A55,FIND(",", Test!A55,FIND(",", Test!A55)+1)+1)+1, FIND(",", Test!A55,FIND(",", Test!A55,FIND(",", Test!A55,FIND(",", Test!A55)+1)+1)+1)-FIND(",", Test!A55,FIND(",", Test!A55,FIND(",", Test!A55)+1)+1)-1), IF(Test!B55&lt;&gt;"",MID(Test!B55,FIND(",",Test!B55)+1,FIND(",",Test!B55,FIND(",",Test!B55)+1)-FIND(",",Test!B55)-1),IF(Test!A55&lt;&gt;"",MID(Test!A55,FIND(",",Test!A55,FIND(",",Test!A55)+1)+1,FIND(",",Test!A55,FIND(",",Test!A55,FIND(",",Test!A55)+1)+1)-FIND(",",Test!A55,FIND(",",Test!A55)+1)-1),"")))</f>
        <v/>
      </c>
      <c r="C55" t="str">
        <f>IF(ISNUMBER(FIND("Query",Test!A55)),RIGHT(Test!A55,LEN(Test!A55)-FIND(",",Test!A55,FIND(",",Test!A55,FIND(",",Test!A55,FIND(",",Test!A55)+1)+1)+1)),IF(Test!B55&lt;&gt;"",RIGHT(Test!B55,LEN(Test!B55)-FIND(",",Test!B55,FIND(",",Test!B55)+1)),IF(Test!A55&lt;&gt;"",MID(Test!A55,FIND(",",Test!A55,FIND(",",Test!A55,FIND(",",Test!A55)+1)+1)+1,LEN(Test!A55)-FIND(",",Test!A55,FIND(",",Test!A55,FIND(",",Test!A55)+1)+1)),""))) &amp; IF(Test!C55&lt;&gt;"", " " &amp; SUBSTITUTE(Test!C55,"-",""), "")</f>
        <v/>
      </c>
    </row>
    <row r="56" spans="1:3" x14ac:dyDescent="0.25">
      <c r="A56" t="str">
        <f>IF(Test!A56="", "", IF(ISNUMBER(FIND("Query",Test!A56)), "AS Query ZMMIMR91 , ZGRIR_ALV", IF(LEFT(Test!A56,1)="7", "AS " &amp; Test!A56, "AS " &amp; IF(Test!B56="",SUBSTITUTE(MID(Test!A56,FIND(",",Test!A56)+1,FIND(",",Test!A56,FIND(",",Test!A56)+1)-FIND(",",Test!A56)-1),"Cube ",""),LEFT(Test!B56,FIND(",",Test!B56)-1)))))</f>
        <v/>
      </c>
      <c r="B56" t="str">
        <f>IF(ISNUMBER(SEARCH("Query", Test!A56)), MID(Test!A56,FIND(",", Test!A56,FIND(",", Test!A56,FIND(",", Test!A56)+1)+1)+1, FIND(",", Test!A56,FIND(",", Test!A56,FIND(",", Test!A56,FIND(",", Test!A56)+1)+1)+1)-FIND(",", Test!A56,FIND(",", Test!A56,FIND(",", Test!A56)+1)+1)-1), IF(Test!B56&lt;&gt;"",MID(Test!B56,FIND(",",Test!B56)+1,FIND(",",Test!B56,FIND(",",Test!B56)+1)-FIND(",",Test!B56)-1),IF(Test!A56&lt;&gt;"",MID(Test!A56,FIND(",",Test!A56,FIND(",",Test!A56)+1)+1,FIND(",",Test!A56,FIND(",",Test!A56,FIND(",",Test!A56)+1)+1)-FIND(",",Test!A56,FIND(",",Test!A56)+1)-1),"")))</f>
        <v/>
      </c>
      <c r="C56" t="str">
        <f>IF(ISNUMBER(FIND("Query",Test!A56)),RIGHT(Test!A56,LEN(Test!A56)-FIND(",",Test!A56,FIND(",",Test!A56,FIND(",",Test!A56,FIND(",",Test!A56)+1)+1)+1)),IF(Test!B56&lt;&gt;"",RIGHT(Test!B56,LEN(Test!B56)-FIND(",",Test!B56,FIND(",",Test!B56)+1)),IF(Test!A56&lt;&gt;"",MID(Test!A56,FIND(",",Test!A56,FIND(",",Test!A56,FIND(",",Test!A56)+1)+1)+1,LEN(Test!A56)-FIND(",",Test!A56,FIND(",",Test!A56,FIND(",",Test!A56)+1)+1)),""))) &amp; IF(Test!C56&lt;&gt;"", " " &amp; SUBSTITUTE(Test!C56,"-",""), "")</f>
        <v/>
      </c>
    </row>
    <row r="57" spans="1:3" x14ac:dyDescent="0.25">
      <c r="A57" t="str">
        <f>IF(Test!A57="", "", IF(ISNUMBER(FIND("Query",Test!A57)), "AS Query ZMMIMR91 , ZGRIR_ALV", IF(LEFT(Test!A57,1)="7", "AS " &amp; Test!A57, "AS " &amp; IF(Test!B57="",SUBSTITUTE(MID(Test!A57,FIND(",",Test!A57)+1,FIND(",",Test!A57,FIND(",",Test!A57)+1)-FIND(",",Test!A57)-1),"Cube ",""),LEFT(Test!B57,FIND(",",Test!B57)-1)))))</f>
        <v/>
      </c>
      <c r="B57" t="str">
        <f>IF(ISNUMBER(SEARCH("Query", Test!A57)), MID(Test!A57,FIND(",", Test!A57,FIND(",", Test!A57,FIND(",", Test!A57)+1)+1)+1, FIND(",", Test!A57,FIND(",", Test!A57,FIND(",", Test!A57,FIND(",", Test!A57)+1)+1)+1)-FIND(",", Test!A57,FIND(",", Test!A57,FIND(",", Test!A57)+1)+1)-1), IF(Test!B57&lt;&gt;"",MID(Test!B57,FIND(",",Test!B57)+1,FIND(",",Test!B57,FIND(",",Test!B57)+1)-FIND(",",Test!B57)-1),IF(Test!A57&lt;&gt;"",MID(Test!A57,FIND(",",Test!A57,FIND(",",Test!A57)+1)+1,FIND(",",Test!A57,FIND(",",Test!A57,FIND(",",Test!A57)+1)+1)-FIND(",",Test!A57,FIND(",",Test!A57)+1)-1),"")))</f>
        <v/>
      </c>
      <c r="C57" t="str">
        <f>IF(ISNUMBER(FIND("Query",Test!A57)),RIGHT(Test!A57,LEN(Test!A57)-FIND(",",Test!A57,FIND(",",Test!A57,FIND(",",Test!A57,FIND(",",Test!A57)+1)+1)+1)),IF(Test!B57&lt;&gt;"",RIGHT(Test!B57,LEN(Test!B57)-FIND(",",Test!B57,FIND(",",Test!B57)+1)),IF(Test!A57&lt;&gt;"",MID(Test!A57,FIND(",",Test!A57,FIND(",",Test!A57,FIND(",",Test!A57)+1)+1)+1,LEN(Test!A57)-FIND(",",Test!A57,FIND(",",Test!A57,FIND(",",Test!A57)+1)+1)),""))) &amp; IF(Test!C57&lt;&gt;"", " " &amp; SUBSTITUTE(Test!C57,"-",""), "")</f>
        <v/>
      </c>
    </row>
    <row r="58" spans="1:3" x14ac:dyDescent="0.25">
      <c r="A58" t="str">
        <f>IF(Test!A58="", "", IF(ISNUMBER(FIND("Query",Test!A58)), "AS Query ZMMIMR91 , ZGRIR_ALV", IF(LEFT(Test!A58,1)="7", "AS " &amp; Test!A58, "AS " &amp; IF(Test!B58="",SUBSTITUTE(MID(Test!A58,FIND(",",Test!A58)+1,FIND(",",Test!A58,FIND(",",Test!A58)+1)-FIND(",",Test!A58)-1),"Cube ",""),LEFT(Test!B58,FIND(",",Test!B58)-1)))))</f>
        <v/>
      </c>
      <c r="B58" t="str">
        <f>IF(ISNUMBER(SEARCH("Query", Test!A58)), MID(Test!A58,FIND(",", Test!A58,FIND(",", Test!A58,FIND(",", Test!A58)+1)+1)+1, FIND(",", Test!A58,FIND(",", Test!A58,FIND(",", Test!A58,FIND(",", Test!A58)+1)+1)+1)-FIND(",", Test!A58,FIND(",", Test!A58,FIND(",", Test!A58)+1)+1)-1), IF(Test!B58&lt;&gt;"",MID(Test!B58,FIND(",",Test!B58)+1,FIND(",",Test!B58,FIND(",",Test!B58)+1)-FIND(",",Test!B58)-1),IF(Test!A58&lt;&gt;"",MID(Test!A58,FIND(",",Test!A58,FIND(",",Test!A58)+1)+1,FIND(",",Test!A58,FIND(",",Test!A58,FIND(",",Test!A58)+1)+1)-FIND(",",Test!A58,FIND(",",Test!A58)+1)-1),"")))</f>
        <v/>
      </c>
      <c r="C58" t="str">
        <f>IF(ISNUMBER(FIND("Query",Test!A58)),RIGHT(Test!A58,LEN(Test!A58)-FIND(",",Test!A58,FIND(",",Test!A58,FIND(",",Test!A58,FIND(",",Test!A58)+1)+1)+1)),IF(Test!B58&lt;&gt;"",RIGHT(Test!B58,LEN(Test!B58)-FIND(",",Test!B58,FIND(",",Test!B58)+1)),IF(Test!A58&lt;&gt;"",MID(Test!A58,FIND(",",Test!A58,FIND(",",Test!A58,FIND(",",Test!A58)+1)+1)+1,LEN(Test!A58)-FIND(",",Test!A58,FIND(",",Test!A58,FIND(",",Test!A58)+1)+1)),""))) &amp; IF(Test!C58&lt;&gt;"", " " &amp; SUBSTITUTE(Test!C58,"-",""), "")</f>
        <v/>
      </c>
    </row>
    <row r="59" spans="1:3" x14ac:dyDescent="0.25">
      <c r="A59" t="str">
        <f>IF(Test!A59="", "", IF(ISNUMBER(FIND("Query",Test!A59)), "AS Query ZMMIMR91 , ZGRIR_ALV", IF(LEFT(Test!A59,1)="7", "AS " &amp; Test!A59, "AS " &amp; IF(Test!B59="",SUBSTITUTE(MID(Test!A59,FIND(",",Test!A59)+1,FIND(",",Test!A59,FIND(",",Test!A59)+1)-FIND(",",Test!A59)-1),"Cube ",""),LEFT(Test!B59,FIND(",",Test!B59)-1)))))</f>
        <v/>
      </c>
      <c r="B59" t="str">
        <f>IF(ISNUMBER(SEARCH("Query", Test!A59)), MID(Test!A59,FIND(",", Test!A59,FIND(",", Test!A59,FIND(",", Test!A59)+1)+1)+1, FIND(",", Test!A59,FIND(",", Test!A59,FIND(",", Test!A59,FIND(",", Test!A59)+1)+1)+1)-FIND(",", Test!A59,FIND(",", Test!A59,FIND(",", Test!A59)+1)+1)-1), IF(Test!B59&lt;&gt;"",MID(Test!B59,FIND(",",Test!B59)+1,FIND(",",Test!B59,FIND(",",Test!B59)+1)-FIND(",",Test!B59)-1),IF(Test!A59&lt;&gt;"",MID(Test!A59,FIND(",",Test!A59,FIND(",",Test!A59)+1)+1,FIND(",",Test!A59,FIND(",",Test!A59,FIND(",",Test!A59)+1)+1)-FIND(",",Test!A59,FIND(",",Test!A59)+1)-1),"")))</f>
        <v/>
      </c>
      <c r="C59" t="str">
        <f>IF(ISNUMBER(FIND("Query",Test!A59)),RIGHT(Test!A59,LEN(Test!A59)-FIND(",",Test!A59,FIND(",",Test!A59,FIND(",",Test!A59,FIND(",",Test!A59)+1)+1)+1)),IF(Test!B59&lt;&gt;"",RIGHT(Test!B59,LEN(Test!B59)-FIND(",",Test!B59,FIND(",",Test!B59)+1)),IF(Test!A59&lt;&gt;"",MID(Test!A59,FIND(",",Test!A59,FIND(",",Test!A59,FIND(",",Test!A59)+1)+1)+1,LEN(Test!A59)-FIND(",",Test!A59,FIND(",",Test!A59,FIND(",",Test!A59)+1)+1)),""))) &amp; IF(Test!C59&lt;&gt;"", " " &amp; SUBSTITUTE(Test!C59,"-",""), "")</f>
        <v/>
      </c>
    </row>
    <row r="60" spans="1:3" x14ac:dyDescent="0.25">
      <c r="A60" t="str">
        <f>IF(Test!A60="", "", IF(ISNUMBER(FIND("Query",Test!A60)), "AS Query ZMMIMR91 , ZGRIR_ALV", IF(LEFT(Test!A60,1)="7", "AS " &amp; Test!A60, "AS " &amp; IF(Test!B60="",SUBSTITUTE(MID(Test!A60,FIND(",",Test!A60)+1,FIND(",",Test!A60,FIND(",",Test!A60)+1)-FIND(",",Test!A60)-1),"Cube ",""),LEFT(Test!B60,FIND(",",Test!B60)-1)))))</f>
        <v/>
      </c>
      <c r="B60" t="str">
        <f>IF(ISNUMBER(SEARCH("Query", Test!A60)), MID(Test!A60,FIND(",", Test!A60,FIND(",", Test!A60,FIND(",", Test!A60)+1)+1)+1, FIND(",", Test!A60,FIND(",", Test!A60,FIND(",", Test!A60,FIND(",", Test!A60)+1)+1)+1)-FIND(",", Test!A60,FIND(",", Test!A60,FIND(",", Test!A60)+1)+1)-1), IF(Test!B60&lt;&gt;"",MID(Test!B60,FIND(",",Test!B60)+1,FIND(",",Test!B60,FIND(",",Test!B60)+1)-FIND(",",Test!B60)-1),IF(Test!A60&lt;&gt;"",MID(Test!A60,FIND(",",Test!A60,FIND(",",Test!A60)+1)+1,FIND(",",Test!A60,FIND(",",Test!A60,FIND(",",Test!A60)+1)+1)-FIND(",",Test!A60,FIND(",",Test!A60)+1)-1),"")))</f>
        <v/>
      </c>
      <c r="C60" t="str">
        <f>IF(ISNUMBER(FIND("Query",Test!A60)),RIGHT(Test!A60,LEN(Test!A60)-FIND(",",Test!A60,FIND(",",Test!A60,FIND(",",Test!A60,FIND(",",Test!A60)+1)+1)+1)),IF(Test!B60&lt;&gt;"",RIGHT(Test!B60,LEN(Test!B60)-FIND(",",Test!B60,FIND(",",Test!B60)+1)),IF(Test!A60&lt;&gt;"",MID(Test!A60,FIND(",",Test!A60,FIND(",",Test!A60,FIND(",",Test!A60)+1)+1)+1,LEN(Test!A60)-FIND(",",Test!A60,FIND(",",Test!A60,FIND(",",Test!A60)+1)+1)),""))) &amp; IF(Test!C60&lt;&gt;"", " " &amp; SUBSTITUTE(Test!C60,"-",""), "")</f>
        <v/>
      </c>
    </row>
    <row r="61" spans="1:3" x14ac:dyDescent="0.25">
      <c r="A61" t="str">
        <f>IF(Test!A61="", "", IF(ISNUMBER(FIND("Query",Test!A61)), "AS Query ZMMIMR91 , ZGRIR_ALV", IF(LEFT(Test!A61,1)="7", "AS " &amp; Test!A61, "AS " &amp; IF(Test!B61="",SUBSTITUTE(MID(Test!A61,FIND(",",Test!A61)+1,FIND(",",Test!A61,FIND(",",Test!A61)+1)-FIND(",",Test!A61)-1),"Cube ",""),LEFT(Test!B61,FIND(",",Test!B61)-1)))))</f>
        <v/>
      </c>
      <c r="B61" t="str">
        <f>IF(ISNUMBER(SEARCH("Query", Test!A61)), MID(Test!A61,FIND(",", Test!A61,FIND(",", Test!A61,FIND(",", Test!A61)+1)+1)+1, FIND(",", Test!A61,FIND(",", Test!A61,FIND(",", Test!A61,FIND(",", Test!A61)+1)+1)+1)-FIND(",", Test!A61,FIND(",", Test!A61,FIND(",", Test!A61)+1)+1)-1), IF(Test!B61&lt;&gt;"",MID(Test!B61,FIND(",",Test!B61)+1,FIND(",",Test!B61,FIND(",",Test!B61)+1)-FIND(",",Test!B61)-1),IF(Test!A61&lt;&gt;"",MID(Test!A61,FIND(",",Test!A61,FIND(",",Test!A61)+1)+1,FIND(",",Test!A61,FIND(",",Test!A61,FIND(",",Test!A61)+1)+1)-FIND(",",Test!A61,FIND(",",Test!A61)+1)-1),"")))</f>
        <v/>
      </c>
      <c r="C61" t="str">
        <f>IF(ISNUMBER(FIND("Query",Test!A61)),RIGHT(Test!A61,LEN(Test!A61)-FIND(",",Test!A61,FIND(",",Test!A61,FIND(",",Test!A61,FIND(",",Test!A61)+1)+1)+1)),IF(Test!B61&lt;&gt;"",RIGHT(Test!B61,LEN(Test!B61)-FIND(",",Test!B61,FIND(",",Test!B61)+1)),IF(Test!A61&lt;&gt;"",MID(Test!A61,FIND(",",Test!A61,FIND(",",Test!A61,FIND(",",Test!A61)+1)+1)+1,LEN(Test!A61)-FIND(",",Test!A61,FIND(",",Test!A61,FIND(",",Test!A61)+1)+1)),""))) &amp; IF(Test!C61&lt;&gt;"", " " &amp; SUBSTITUTE(Test!C61,"-",""), "")</f>
        <v/>
      </c>
    </row>
    <row r="62" spans="1:3" x14ac:dyDescent="0.25">
      <c r="A62" t="str">
        <f>IF(Test!A62="", "", IF(ISNUMBER(FIND("Query",Test!A62)), "AS Query ZMMIMR91 , ZGRIR_ALV", IF(LEFT(Test!A62,1)="7", "AS " &amp; Test!A62, "AS " &amp; IF(Test!B62="",SUBSTITUTE(MID(Test!A62,FIND(",",Test!A62)+1,FIND(",",Test!A62,FIND(",",Test!A62)+1)-FIND(",",Test!A62)-1),"Cube ",""),LEFT(Test!B62,FIND(",",Test!B62)-1)))))</f>
        <v/>
      </c>
      <c r="B62" t="str">
        <f>IF(ISNUMBER(SEARCH("Query", Test!A62)), MID(Test!A62,FIND(",", Test!A62,FIND(",", Test!A62,FIND(",", Test!A62)+1)+1)+1, FIND(",", Test!A62,FIND(",", Test!A62,FIND(",", Test!A62,FIND(",", Test!A62)+1)+1)+1)-FIND(",", Test!A62,FIND(",", Test!A62,FIND(",", Test!A62)+1)+1)-1), IF(Test!B62&lt;&gt;"",MID(Test!B62,FIND(",",Test!B62)+1,FIND(",",Test!B62,FIND(",",Test!B62)+1)-FIND(",",Test!B62)-1),IF(Test!A62&lt;&gt;"",MID(Test!A62,FIND(",",Test!A62,FIND(",",Test!A62)+1)+1,FIND(",",Test!A62,FIND(",",Test!A62,FIND(",",Test!A62)+1)+1)-FIND(",",Test!A62,FIND(",",Test!A62)+1)-1),"")))</f>
        <v/>
      </c>
      <c r="C62" t="str">
        <f>IF(ISNUMBER(FIND("Query",Test!A62)),RIGHT(Test!A62,LEN(Test!A62)-FIND(",",Test!A62,FIND(",",Test!A62,FIND(",",Test!A62,FIND(",",Test!A62)+1)+1)+1)),IF(Test!B62&lt;&gt;"",RIGHT(Test!B62,LEN(Test!B62)-FIND(",",Test!B62,FIND(",",Test!B62)+1)),IF(Test!A62&lt;&gt;"",MID(Test!A62,FIND(",",Test!A62,FIND(",",Test!A62,FIND(",",Test!A62)+1)+1)+1,LEN(Test!A62)-FIND(",",Test!A62,FIND(",",Test!A62,FIND(",",Test!A62)+1)+1)),""))) &amp; IF(Test!C62&lt;&gt;"", " " &amp; SUBSTITUTE(Test!C62,"-",""), "")</f>
        <v/>
      </c>
    </row>
    <row r="63" spans="1:3" x14ac:dyDescent="0.25">
      <c r="A63" t="str">
        <f>IF(Test!A63="", "", IF(ISNUMBER(FIND("Query",Test!A63)), "AS Query ZMMIMR91 , ZGRIR_ALV", IF(LEFT(Test!A63,1)="7", "AS " &amp; Test!A63, "AS " &amp; IF(Test!B63="",SUBSTITUTE(MID(Test!A63,FIND(",",Test!A63)+1,FIND(",",Test!A63,FIND(",",Test!A63)+1)-FIND(",",Test!A63)-1),"Cube ",""),LEFT(Test!B63,FIND(",",Test!B63)-1)))))</f>
        <v/>
      </c>
      <c r="B63" t="str">
        <f>IF(ISNUMBER(SEARCH("Query", Test!A63)), MID(Test!A63,FIND(",", Test!A63,FIND(",", Test!A63,FIND(",", Test!A63)+1)+1)+1, FIND(",", Test!A63,FIND(",", Test!A63,FIND(",", Test!A63,FIND(",", Test!A63)+1)+1)+1)-FIND(",", Test!A63,FIND(",", Test!A63,FIND(",", Test!A63)+1)+1)-1), IF(Test!B63&lt;&gt;"",MID(Test!B63,FIND(",",Test!B63)+1,FIND(",",Test!B63,FIND(",",Test!B63)+1)-FIND(",",Test!B63)-1),IF(Test!A63&lt;&gt;"",MID(Test!A63,FIND(",",Test!A63,FIND(",",Test!A63)+1)+1,FIND(",",Test!A63,FIND(",",Test!A63,FIND(",",Test!A63)+1)+1)-FIND(",",Test!A63,FIND(",",Test!A63)+1)-1),"")))</f>
        <v/>
      </c>
      <c r="C63" t="str">
        <f>IF(ISNUMBER(FIND("Query",Test!A63)),RIGHT(Test!A63,LEN(Test!A63)-FIND(",",Test!A63,FIND(",",Test!A63,FIND(",",Test!A63,FIND(",",Test!A63)+1)+1)+1)),IF(Test!B63&lt;&gt;"",RIGHT(Test!B63,LEN(Test!B63)-FIND(",",Test!B63,FIND(",",Test!B63)+1)),IF(Test!A63&lt;&gt;"",MID(Test!A63,FIND(",",Test!A63,FIND(",",Test!A63,FIND(",",Test!A63)+1)+1)+1,LEN(Test!A63)-FIND(",",Test!A63,FIND(",",Test!A63,FIND(",",Test!A63)+1)+1)),""))) &amp; IF(Test!C63&lt;&gt;"", " " &amp; SUBSTITUTE(Test!C63,"-",""), "")</f>
        <v/>
      </c>
    </row>
    <row r="64" spans="1:3" x14ac:dyDescent="0.25">
      <c r="A64" t="str">
        <f>IF(Test!A64="", "", IF(ISNUMBER(FIND("Query",Test!A64)), "AS Query ZMMIMR91 , ZGRIR_ALV", IF(LEFT(Test!A64,1)="7", "AS " &amp; Test!A64, "AS " &amp; IF(Test!B64="",SUBSTITUTE(MID(Test!A64,FIND(",",Test!A64)+1,FIND(",",Test!A64,FIND(",",Test!A64)+1)-FIND(",",Test!A64)-1),"Cube ",""),LEFT(Test!B64,FIND(",",Test!B64)-1)))))</f>
        <v/>
      </c>
      <c r="B64" t="str">
        <f>IF(ISNUMBER(SEARCH("Query", Test!A64)), MID(Test!A64,FIND(",", Test!A64,FIND(",", Test!A64,FIND(",", Test!A64)+1)+1)+1, FIND(",", Test!A64,FIND(",", Test!A64,FIND(",", Test!A64,FIND(",", Test!A64)+1)+1)+1)-FIND(",", Test!A64,FIND(",", Test!A64,FIND(",", Test!A64)+1)+1)-1), IF(Test!B64&lt;&gt;"",MID(Test!B64,FIND(",",Test!B64)+1,FIND(",",Test!B64,FIND(",",Test!B64)+1)-FIND(",",Test!B64)-1),IF(Test!A64&lt;&gt;"",MID(Test!A64,FIND(",",Test!A64,FIND(",",Test!A64)+1)+1,FIND(",",Test!A64,FIND(",",Test!A64,FIND(",",Test!A64)+1)+1)-FIND(",",Test!A64,FIND(",",Test!A64)+1)-1),"")))</f>
        <v/>
      </c>
      <c r="C64" t="str">
        <f>IF(ISNUMBER(FIND("Query",Test!A64)),RIGHT(Test!A64,LEN(Test!A64)-FIND(",",Test!A64,FIND(",",Test!A64,FIND(",",Test!A64,FIND(",",Test!A64)+1)+1)+1)),IF(Test!B64&lt;&gt;"",RIGHT(Test!B64,LEN(Test!B64)-FIND(",",Test!B64,FIND(",",Test!B64)+1)),IF(Test!A64&lt;&gt;"",MID(Test!A64,FIND(",",Test!A64,FIND(",",Test!A64,FIND(",",Test!A64)+1)+1)+1,LEN(Test!A64)-FIND(",",Test!A64,FIND(",",Test!A64,FIND(",",Test!A64)+1)+1)),""))) &amp; IF(Test!C64&lt;&gt;"", " " &amp; SUBSTITUTE(Test!C64,"-",""), "")</f>
        <v/>
      </c>
    </row>
    <row r="65" spans="1:3" x14ac:dyDescent="0.25">
      <c r="A65" t="str">
        <f>IF(Test!A65="", "", IF(ISNUMBER(FIND("Query",Test!A65)), "AS Query ZMMIMR91 , ZGRIR_ALV", IF(LEFT(Test!A65,1)="7", "AS " &amp; Test!A65, "AS " &amp; IF(Test!B65="",SUBSTITUTE(MID(Test!A65,FIND(",",Test!A65)+1,FIND(",",Test!A65,FIND(",",Test!A65)+1)-FIND(",",Test!A65)-1),"Cube ",""),LEFT(Test!B65,FIND(",",Test!B65)-1)))))</f>
        <v/>
      </c>
      <c r="B65" t="str">
        <f>IF(ISNUMBER(SEARCH("Query", Test!A65)), MID(Test!A65,FIND(",", Test!A65,FIND(",", Test!A65,FIND(",", Test!A65)+1)+1)+1, FIND(",", Test!A65,FIND(",", Test!A65,FIND(",", Test!A65,FIND(",", Test!A65)+1)+1)+1)-FIND(",", Test!A65,FIND(",", Test!A65,FIND(",", Test!A65)+1)+1)-1), IF(Test!B65&lt;&gt;"",MID(Test!B65,FIND(",",Test!B65)+1,FIND(",",Test!B65,FIND(",",Test!B65)+1)-FIND(",",Test!B65)-1),IF(Test!A65&lt;&gt;"",MID(Test!A65,FIND(",",Test!A65,FIND(",",Test!A65)+1)+1,FIND(",",Test!A65,FIND(",",Test!A65,FIND(",",Test!A65)+1)+1)-FIND(",",Test!A65,FIND(",",Test!A65)+1)-1),"")))</f>
        <v/>
      </c>
      <c r="C65" t="str">
        <f>IF(ISNUMBER(FIND("Query",Test!A65)),RIGHT(Test!A65,LEN(Test!A65)-FIND(",",Test!A65,FIND(",",Test!A65,FIND(",",Test!A65,FIND(",",Test!A65)+1)+1)+1)),IF(Test!B65&lt;&gt;"",RIGHT(Test!B65,LEN(Test!B65)-FIND(",",Test!B65,FIND(",",Test!B65)+1)),IF(Test!A65&lt;&gt;"",MID(Test!A65,FIND(",",Test!A65,FIND(",",Test!A65,FIND(",",Test!A65)+1)+1)+1,LEN(Test!A65)-FIND(",",Test!A65,FIND(",",Test!A65,FIND(",",Test!A65)+1)+1)),""))) &amp; IF(Test!C65&lt;&gt;"", " " &amp; SUBSTITUTE(Test!C65,"-",""), "")</f>
        <v/>
      </c>
    </row>
    <row r="66" spans="1:3" x14ac:dyDescent="0.25">
      <c r="A66" t="str">
        <f>IF(Test!A66="", "", IF(ISNUMBER(FIND("Query",Test!A66)), "AS Query ZMMIMR91 , ZGRIR_ALV", IF(LEFT(Test!A66,1)="7", "AS " &amp; Test!A66, "AS " &amp; IF(Test!B66="",SUBSTITUTE(MID(Test!A66,FIND(",",Test!A66)+1,FIND(",",Test!A66,FIND(",",Test!A66)+1)-FIND(",",Test!A66)-1),"Cube ",""),LEFT(Test!B66,FIND(",",Test!B66)-1)))))</f>
        <v/>
      </c>
      <c r="B66" t="str">
        <f>IF(ISNUMBER(SEARCH("Query", Test!A66)), MID(Test!A66,FIND(",", Test!A66,FIND(",", Test!A66,FIND(",", Test!A66)+1)+1)+1, FIND(",", Test!A66,FIND(",", Test!A66,FIND(",", Test!A66,FIND(",", Test!A66)+1)+1)+1)-FIND(",", Test!A66,FIND(",", Test!A66,FIND(",", Test!A66)+1)+1)-1), IF(Test!B66&lt;&gt;"",MID(Test!B66,FIND(",",Test!B66)+1,FIND(",",Test!B66,FIND(",",Test!B66)+1)-FIND(",",Test!B66)-1),IF(Test!A66&lt;&gt;"",MID(Test!A66,FIND(",",Test!A66,FIND(",",Test!A66)+1)+1,FIND(",",Test!A66,FIND(",",Test!A66,FIND(",",Test!A66)+1)+1)-FIND(",",Test!A66,FIND(",",Test!A66)+1)-1),"")))</f>
        <v/>
      </c>
      <c r="C66" t="str">
        <f>IF(ISNUMBER(FIND("Query",Test!A66)),RIGHT(Test!A66,LEN(Test!A66)-FIND(",",Test!A66,FIND(",",Test!A66,FIND(",",Test!A66,FIND(",",Test!A66)+1)+1)+1)),IF(Test!B66&lt;&gt;"",RIGHT(Test!B66,LEN(Test!B66)-FIND(",",Test!B66,FIND(",",Test!B66)+1)),IF(Test!A66&lt;&gt;"",MID(Test!A66,FIND(",",Test!A66,FIND(",",Test!A66,FIND(",",Test!A66)+1)+1)+1,LEN(Test!A66)-FIND(",",Test!A66,FIND(",",Test!A66,FIND(",",Test!A66)+1)+1)),""))) &amp; IF(Test!C66&lt;&gt;"", " " &amp; SUBSTITUTE(Test!C66,"-",""), "")</f>
        <v/>
      </c>
    </row>
    <row r="67" spans="1:3" x14ac:dyDescent="0.25">
      <c r="A67" t="str">
        <f>IF(Test!A67="", "", IF(ISNUMBER(FIND("Query",Test!A67)), "AS Query ZMMIMR91 , ZGRIR_ALV", IF(LEFT(Test!A67,1)="7", "AS " &amp; Test!A67, "AS " &amp; IF(Test!B67="",SUBSTITUTE(MID(Test!A67,FIND(",",Test!A67)+1,FIND(",",Test!A67,FIND(",",Test!A67)+1)-FIND(",",Test!A67)-1),"Cube ",""),LEFT(Test!B67,FIND(",",Test!B67)-1)))))</f>
        <v/>
      </c>
      <c r="B67" t="str">
        <f>IF(ISNUMBER(SEARCH("Query", Test!A67)), MID(Test!A67,FIND(",", Test!A67,FIND(",", Test!A67,FIND(",", Test!A67)+1)+1)+1, FIND(",", Test!A67,FIND(",", Test!A67,FIND(",", Test!A67,FIND(",", Test!A67)+1)+1)+1)-FIND(",", Test!A67,FIND(",", Test!A67,FIND(",", Test!A67)+1)+1)-1), IF(Test!B67&lt;&gt;"",MID(Test!B67,FIND(",",Test!B67)+1,FIND(",",Test!B67,FIND(",",Test!B67)+1)-FIND(",",Test!B67)-1),IF(Test!A67&lt;&gt;"",MID(Test!A67,FIND(",",Test!A67,FIND(",",Test!A67)+1)+1,FIND(",",Test!A67,FIND(",",Test!A67,FIND(",",Test!A67)+1)+1)-FIND(",",Test!A67,FIND(",",Test!A67)+1)-1),"")))</f>
        <v/>
      </c>
      <c r="C67" t="str">
        <f>IF(ISNUMBER(FIND("Query",Test!A67)),RIGHT(Test!A67,LEN(Test!A67)-FIND(",",Test!A67,FIND(",",Test!A67,FIND(",",Test!A67,FIND(",",Test!A67)+1)+1)+1)),IF(Test!B67&lt;&gt;"",RIGHT(Test!B67,LEN(Test!B67)-FIND(",",Test!B67,FIND(",",Test!B67)+1)),IF(Test!A67&lt;&gt;"",MID(Test!A67,FIND(",",Test!A67,FIND(",",Test!A67,FIND(",",Test!A67)+1)+1)+1,LEN(Test!A67)-FIND(",",Test!A67,FIND(",",Test!A67,FIND(",",Test!A67)+1)+1)),""))) &amp; IF(Test!C67&lt;&gt;"", " " &amp; SUBSTITUTE(Test!C67,"-",""), "")</f>
        <v/>
      </c>
    </row>
    <row r="68" spans="1:3" x14ac:dyDescent="0.25">
      <c r="A68" t="str">
        <f>IF(Test!A68="", "", IF(ISNUMBER(FIND("Query",Test!A68)), "AS Query ZMMIMR91 , ZGRIR_ALV", IF(LEFT(Test!A68,1)="7", "AS " &amp; Test!A68, "AS " &amp; IF(Test!B68="",SUBSTITUTE(MID(Test!A68,FIND(",",Test!A68)+1,FIND(",",Test!A68,FIND(",",Test!A68)+1)-FIND(",",Test!A68)-1),"Cube ",""),LEFT(Test!B68,FIND(",",Test!B68)-1)))))</f>
        <v/>
      </c>
      <c r="B68" t="str">
        <f>IF(ISNUMBER(SEARCH("Query", Test!A68)), MID(Test!A68,FIND(",", Test!A68,FIND(",", Test!A68,FIND(",", Test!A68)+1)+1)+1, FIND(",", Test!A68,FIND(",", Test!A68,FIND(",", Test!A68,FIND(",", Test!A68)+1)+1)+1)-FIND(",", Test!A68,FIND(",", Test!A68,FIND(",", Test!A68)+1)+1)-1), IF(Test!B68&lt;&gt;"",MID(Test!B68,FIND(",",Test!B68)+1,FIND(",",Test!B68,FIND(",",Test!B68)+1)-FIND(",",Test!B68)-1),IF(Test!A68&lt;&gt;"",MID(Test!A68,FIND(",",Test!A68,FIND(",",Test!A68)+1)+1,FIND(",",Test!A68,FIND(",",Test!A68,FIND(",",Test!A68)+1)+1)-FIND(",",Test!A68,FIND(",",Test!A68)+1)-1),"")))</f>
        <v/>
      </c>
      <c r="C68" t="str">
        <f>IF(ISNUMBER(FIND("Query",Test!A68)),RIGHT(Test!A68,LEN(Test!A68)-FIND(",",Test!A68,FIND(",",Test!A68,FIND(",",Test!A68,FIND(",",Test!A68)+1)+1)+1)),IF(Test!B68&lt;&gt;"",RIGHT(Test!B68,LEN(Test!B68)-FIND(",",Test!B68,FIND(",",Test!B68)+1)),IF(Test!A68&lt;&gt;"",MID(Test!A68,FIND(",",Test!A68,FIND(",",Test!A68,FIND(",",Test!A68)+1)+1)+1,LEN(Test!A68)-FIND(",",Test!A68,FIND(",",Test!A68,FIND(",",Test!A68)+1)+1)),""))) &amp; IF(Test!C68&lt;&gt;"", " " &amp; SUBSTITUTE(Test!C68,"-",""), "")</f>
        <v/>
      </c>
    </row>
    <row r="69" spans="1:3" x14ac:dyDescent="0.25">
      <c r="A69" t="str">
        <f>IF(Test!A69="", "", IF(ISNUMBER(FIND("Query",Test!A69)), "AS Query ZMMIMR91 , ZGRIR_ALV", IF(LEFT(Test!A69,1)="7", "AS " &amp; Test!A69, "AS " &amp; IF(Test!B69="",SUBSTITUTE(MID(Test!A69,FIND(",",Test!A69)+1,FIND(",",Test!A69,FIND(",",Test!A69)+1)-FIND(",",Test!A69)-1),"Cube ",""),LEFT(Test!B69,FIND(",",Test!B69)-1)))))</f>
        <v/>
      </c>
      <c r="B69" t="str">
        <f>IF(ISNUMBER(SEARCH("Query", Test!A69)), MID(Test!A69,FIND(",", Test!A69,FIND(",", Test!A69,FIND(",", Test!A69)+1)+1)+1, FIND(",", Test!A69,FIND(",", Test!A69,FIND(",", Test!A69,FIND(",", Test!A69)+1)+1)+1)-FIND(",", Test!A69,FIND(",", Test!A69,FIND(",", Test!A69)+1)+1)-1), IF(Test!B69&lt;&gt;"",MID(Test!B69,FIND(",",Test!B69)+1,FIND(",",Test!B69,FIND(",",Test!B69)+1)-FIND(",",Test!B69)-1),IF(Test!A69&lt;&gt;"",MID(Test!A69,FIND(",",Test!A69,FIND(",",Test!A69)+1)+1,FIND(",",Test!A69,FIND(",",Test!A69,FIND(",",Test!A69)+1)+1)-FIND(",",Test!A69,FIND(",",Test!A69)+1)-1),"")))</f>
        <v/>
      </c>
      <c r="C69" t="str">
        <f>IF(ISNUMBER(FIND("Query",Test!A69)),RIGHT(Test!A69,LEN(Test!A69)-FIND(",",Test!A69,FIND(",",Test!A69,FIND(",",Test!A69,FIND(",",Test!A69)+1)+1)+1)),IF(Test!B69&lt;&gt;"",RIGHT(Test!B69,LEN(Test!B69)-FIND(",",Test!B69,FIND(",",Test!B69)+1)),IF(Test!A69&lt;&gt;"",MID(Test!A69,FIND(",",Test!A69,FIND(",",Test!A69,FIND(",",Test!A69)+1)+1)+1,LEN(Test!A69)-FIND(",",Test!A69,FIND(",",Test!A69,FIND(",",Test!A69)+1)+1)),""))) &amp; IF(Test!C69&lt;&gt;"", " " &amp; SUBSTITUTE(Test!C69,"-",""), "")</f>
        <v/>
      </c>
    </row>
    <row r="70" spans="1:3" x14ac:dyDescent="0.25">
      <c r="A70" t="str">
        <f>IF(Test!A70="", "", IF(ISNUMBER(FIND("Query",Test!A70)), "AS Query ZMMIMR91 , ZGRIR_ALV", IF(LEFT(Test!A70,1)="7", "AS " &amp; Test!A70, "AS " &amp; IF(Test!B70="",SUBSTITUTE(MID(Test!A70,FIND(",",Test!A70)+1,FIND(",",Test!A70,FIND(",",Test!A70)+1)-FIND(",",Test!A70)-1),"Cube ",""),LEFT(Test!B70,FIND(",",Test!B70)-1)))))</f>
        <v/>
      </c>
      <c r="B70" t="str">
        <f>IF(ISNUMBER(SEARCH("Query", Test!A70)), MID(Test!A70,FIND(",", Test!A70,FIND(",", Test!A70,FIND(",", Test!A70)+1)+1)+1, FIND(",", Test!A70,FIND(",", Test!A70,FIND(",", Test!A70,FIND(",", Test!A70)+1)+1)+1)-FIND(",", Test!A70,FIND(",", Test!A70,FIND(",", Test!A70)+1)+1)-1), IF(Test!B70&lt;&gt;"",MID(Test!B70,FIND(",",Test!B70)+1,FIND(",",Test!B70,FIND(",",Test!B70)+1)-FIND(",",Test!B70)-1),IF(Test!A70&lt;&gt;"",MID(Test!A70,FIND(",",Test!A70,FIND(",",Test!A70)+1)+1,FIND(",",Test!A70,FIND(",",Test!A70,FIND(",",Test!A70)+1)+1)-FIND(",",Test!A70,FIND(",",Test!A70)+1)-1),"")))</f>
        <v/>
      </c>
      <c r="C70" t="str">
        <f>IF(ISNUMBER(FIND("Query",Test!A70)),RIGHT(Test!A70,LEN(Test!A70)-FIND(",",Test!A70,FIND(",",Test!A70,FIND(",",Test!A70,FIND(",",Test!A70)+1)+1)+1)),IF(Test!B70&lt;&gt;"",RIGHT(Test!B70,LEN(Test!B70)-FIND(",",Test!B70,FIND(",",Test!B70)+1)),IF(Test!A70&lt;&gt;"",MID(Test!A70,FIND(",",Test!A70,FIND(",",Test!A70,FIND(",",Test!A70)+1)+1)+1,LEN(Test!A70)-FIND(",",Test!A70,FIND(",",Test!A70,FIND(",",Test!A70)+1)+1)),""))) &amp; IF(Test!C70&lt;&gt;"", " " &amp; SUBSTITUTE(Test!C70,"-",""), "")</f>
        <v/>
      </c>
    </row>
    <row r="71" spans="1:3" x14ac:dyDescent="0.25">
      <c r="A71" t="str">
        <f>IF(Test!A71="", "", IF(ISNUMBER(FIND("Query",Test!A71)), "AS Query ZMMIMR91 , ZGRIR_ALV", IF(LEFT(Test!A71,1)="7", "AS " &amp; Test!A71, "AS " &amp; IF(Test!B71="",SUBSTITUTE(MID(Test!A71,FIND(",",Test!A71)+1,FIND(",",Test!A71,FIND(",",Test!A71)+1)-FIND(",",Test!A71)-1),"Cube ",""),LEFT(Test!B71,FIND(",",Test!B71)-1)))))</f>
        <v/>
      </c>
      <c r="B71" t="str">
        <f>IF(ISNUMBER(SEARCH("Query", Test!A71)), MID(Test!A71,FIND(",", Test!A71,FIND(",", Test!A71,FIND(",", Test!A71)+1)+1)+1, FIND(",", Test!A71,FIND(",", Test!A71,FIND(",", Test!A71,FIND(",", Test!A71)+1)+1)+1)-FIND(",", Test!A71,FIND(",", Test!A71,FIND(",", Test!A71)+1)+1)-1), IF(Test!B71&lt;&gt;"",MID(Test!B71,FIND(",",Test!B71)+1,FIND(",",Test!B71,FIND(",",Test!B71)+1)-FIND(",",Test!B71)-1),IF(Test!A71&lt;&gt;"",MID(Test!A71,FIND(",",Test!A71,FIND(",",Test!A71)+1)+1,FIND(",",Test!A71,FIND(",",Test!A71,FIND(",",Test!A71)+1)+1)-FIND(",",Test!A71,FIND(",",Test!A71)+1)-1),"")))</f>
        <v/>
      </c>
      <c r="C71" t="str">
        <f>IF(ISNUMBER(FIND("Query",Test!A71)),RIGHT(Test!A71,LEN(Test!A71)-FIND(",",Test!A71,FIND(",",Test!A71,FIND(",",Test!A71,FIND(",",Test!A71)+1)+1)+1)),IF(Test!B71&lt;&gt;"",RIGHT(Test!B71,LEN(Test!B71)-FIND(",",Test!B71,FIND(",",Test!B71)+1)),IF(Test!A71&lt;&gt;"",MID(Test!A71,FIND(",",Test!A71,FIND(",",Test!A71,FIND(",",Test!A71)+1)+1)+1,LEN(Test!A71)-FIND(",",Test!A71,FIND(",",Test!A71,FIND(",",Test!A71)+1)+1)),""))) &amp; IF(Test!C71&lt;&gt;"", " " &amp; SUBSTITUTE(Test!C71,"-",""), "")</f>
        <v/>
      </c>
    </row>
    <row r="72" spans="1:3" x14ac:dyDescent="0.25">
      <c r="A72" t="str">
        <f>IF(Test!A72="", "", IF(ISNUMBER(FIND("Query",Test!A72)), "AS Query ZMMIMR91 , ZGRIR_ALV", IF(LEFT(Test!A72,1)="7", "AS " &amp; Test!A72, "AS " &amp; IF(Test!B72="",SUBSTITUTE(MID(Test!A72,FIND(",",Test!A72)+1,FIND(",",Test!A72,FIND(",",Test!A72)+1)-FIND(",",Test!A72)-1),"Cube ",""),LEFT(Test!B72,FIND(",",Test!B72)-1)))))</f>
        <v/>
      </c>
      <c r="B72" t="str">
        <f>IF(ISNUMBER(SEARCH("Query", Test!A72)), MID(Test!A72,FIND(",", Test!A72,FIND(",", Test!A72,FIND(",", Test!A72)+1)+1)+1, FIND(",", Test!A72,FIND(",", Test!A72,FIND(",", Test!A72,FIND(",", Test!A72)+1)+1)+1)-FIND(",", Test!A72,FIND(",", Test!A72,FIND(",", Test!A72)+1)+1)-1), IF(Test!B72&lt;&gt;"",MID(Test!B72,FIND(",",Test!B72)+1,FIND(",",Test!B72,FIND(",",Test!B72)+1)-FIND(",",Test!B72)-1),IF(Test!A72&lt;&gt;"",MID(Test!A72,FIND(",",Test!A72,FIND(",",Test!A72)+1)+1,FIND(",",Test!A72,FIND(",",Test!A72,FIND(",",Test!A72)+1)+1)-FIND(",",Test!A72,FIND(",",Test!A72)+1)-1),"")))</f>
        <v/>
      </c>
      <c r="C72" t="str">
        <f>IF(ISNUMBER(FIND("Query",Test!A72)),RIGHT(Test!A72,LEN(Test!A72)-FIND(",",Test!A72,FIND(",",Test!A72,FIND(",",Test!A72,FIND(",",Test!A72)+1)+1)+1)),IF(Test!B72&lt;&gt;"",RIGHT(Test!B72,LEN(Test!B72)-FIND(",",Test!B72,FIND(",",Test!B72)+1)),IF(Test!A72&lt;&gt;"",MID(Test!A72,FIND(",",Test!A72,FIND(",",Test!A72,FIND(",",Test!A72)+1)+1)+1,LEN(Test!A72)-FIND(",",Test!A72,FIND(",",Test!A72,FIND(",",Test!A72)+1)+1)),""))) &amp; IF(Test!C72&lt;&gt;"", " " &amp; SUBSTITUTE(Test!C72,"-",""), "")</f>
        <v/>
      </c>
    </row>
    <row r="73" spans="1:3" x14ac:dyDescent="0.25">
      <c r="A73" t="str">
        <f>IF(Test!A73="", "", IF(ISNUMBER(FIND("Query",Test!A73)), "AS Query ZMMIMR91 , ZGRIR_ALV", IF(LEFT(Test!A73,1)="7", "AS " &amp; Test!A73, "AS " &amp; IF(Test!B73="",SUBSTITUTE(MID(Test!A73,FIND(",",Test!A73)+1,FIND(",",Test!A73,FIND(",",Test!A73)+1)-FIND(",",Test!A73)-1),"Cube ",""),LEFT(Test!B73,FIND(",",Test!B73)-1)))))</f>
        <v/>
      </c>
      <c r="B73" t="str">
        <f>IF(ISNUMBER(SEARCH("Query", Test!A73)), MID(Test!A73,FIND(",", Test!A73,FIND(",", Test!A73,FIND(",", Test!A73)+1)+1)+1, FIND(",", Test!A73,FIND(",", Test!A73,FIND(",", Test!A73,FIND(",", Test!A73)+1)+1)+1)-FIND(",", Test!A73,FIND(",", Test!A73,FIND(",", Test!A73)+1)+1)-1), IF(Test!B73&lt;&gt;"",MID(Test!B73,FIND(",",Test!B73)+1,FIND(",",Test!B73,FIND(",",Test!B73)+1)-FIND(",",Test!B73)-1),IF(Test!A73&lt;&gt;"",MID(Test!A73,FIND(",",Test!A73,FIND(",",Test!A73)+1)+1,FIND(",",Test!A73,FIND(",",Test!A73,FIND(",",Test!A73)+1)+1)-FIND(",",Test!A73,FIND(",",Test!A73)+1)-1),"")))</f>
        <v/>
      </c>
      <c r="C73" t="str">
        <f>IF(ISNUMBER(FIND("Query",Test!A73)),RIGHT(Test!A73,LEN(Test!A73)-FIND(",",Test!A73,FIND(",",Test!A73,FIND(",",Test!A73,FIND(",",Test!A73)+1)+1)+1)),IF(Test!B73&lt;&gt;"",RIGHT(Test!B73,LEN(Test!B73)-FIND(",",Test!B73,FIND(",",Test!B73)+1)),IF(Test!A73&lt;&gt;"",MID(Test!A73,FIND(",",Test!A73,FIND(",",Test!A73,FIND(",",Test!A73)+1)+1)+1,LEN(Test!A73)-FIND(",",Test!A73,FIND(",",Test!A73,FIND(",",Test!A73)+1)+1)),""))) &amp; IF(Test!C73&lt;&gt;"", " " &amp; SUBSTITUTE(Test!C73,"-",""), "")</f>
        <v/>
      </c>
    </row>
    <row r="74" spans="1:3" x14ac:dyDescent="0.25">
      <c r="A74" t="str">
        <f>IF(Test!A74="", "", IF(ISNUMBER(FIND("Query",Test!A74)), "AS Query ZMMIMR91 , ZGRIR_ALV", IF(LEFT(Test!A74,1)="7", "AS " &amp; Test!A74, "AS " &amp; IF(Test!B74="",SUBSTITUTE(MID(Test!A74,FIND(",",Test!A74)+1,FIND(",",Test!A74,FIND(",",Test!A74)+1)-FIND(",",Test!A74)-1),"Cube ",""),LEFT(Test!B74,FIND(",",Test!B74)-1)))))</f>
        <v/>
      </c>
      <c r="B74" t="str">
        <f>IF(ISNUMBER(SEARCH("Query", Test!A74)), MID(Test!A74,FIND(",", Test!A74,FIND(",", Test!A74,FIND(",", Test!A74)+1)+1)+1, FIND(",", Test!A74,FIND(",", Test!A74,FIND(",", Test!A74,FIND(",", Test!A74)+1)+1)+1)-FIND(",", Test!A74,FIND(",", Test!A74,FIND(",", Test!A74)+1)+1)-1), IF(Test!B74&lt;&gt;"",MID(Test!B74,FIND(",",Test!B74)+1,FIND(",",Test!B74,FIND(",",Test!B74)+1)-FIND(",",Test!B74)-1),IF(Test!A74&lt;&gt;"",MID(Test!A74,FIND(",",Test!A74,FIND(",",Test!A74)+1)+1,FIND(",",Test!A74,FIND(",",Test!A74,FIND(",",Test!A74)+1)+1)-FIND(",",Test!A74,FIND(",",Test!A74)+1)-1),"")))</f>
        <v/>
      </c>
      <c r="C74" t="str">
        <f>IF(ISNUMBER(FIND("Query",Test!A74)),RIGHT(Test!A74,LEN(Test!A74)-FIND(",",Test!A74,FIND(",",Test!A74,FIND(",",Test!A74,FIND(",",Test!A74)+1)+1)+1)),IF(Test!B74&lt;&gt;"",RIGHT(Test!B74,LEN(Test!B74)-FIND(",",Test!B74,FIND(",",Test!B74)+1)),IF(Test!A74&lt;&gt;"",MID(Test!A74,FIND(",",Test!A74,FIND(",",Test!A74,FIND(",",Test!A74)+1)+1)+1,LEN(Test!A74)-FIND(",",Test!A74,FIND(",",Test!A74,FIND(",",Test!A74)+1)+1)),""))) &amp; IF(Test!C74&lt;&gt;"", " " &amp; SUBSTITUTE(Test!C74,"-",""), "")</f>
        <v/>
      </c>
    </row>
    <row r="75" spans="1:3" x14ac:dyDescent="0.25">
      <c r="A75" t="str">
        <f>IF(Test!A75="", "", IF(ISNUMBER(FIND("Query",Test!A75)), "AS Query ZMMIMR91 , ZGRIR_ALV", IF(LEFT(Test!A75,1)="7", "AS " &amp; Test!A75, "AS " &amp; IF(Test!B75="",SUBSTITUTE(MID(Test!A75,FIND(",",Test!A75)+1,FIND(",",Test!A75,FIND(",",Test!A75)+1)-FIND(",",Test!A75)-1),"Cube ",""),LEFT(Test!B75,FIND(",",Test!B75)-1)))))</f>
        <v/>
      </c>
      <c r="B75" t="str">
        <f>IF(ISNUMBER(SEARCH("Query", Test!A75)), MID(Test!A75,FIND(",", Test!A75,FIND(",", Test!A75,FIND(",", Test!A75)+1)+1)+1, FIND(",", Test!A75,FIND(",", Test!A75,FIND(",", Test!A75,FIND(",", Test!A75)+1)+1)+1)-FIND(",", Test!A75,FIND(",", Test!A75,FIND(",", Test!A75)+1)+1)-1), IF(Test!B75&lt;&gt;"",MID(Test!B75,FIND(",",Test!B75)+1,FIND(",",Test!B75,FIND(",",Test!B75)+1)-FIND(",",Test!B75)-1),IF(Test!A75&lt;&gt;"",MID(Test!A75,FIND(",",Test!A75,FIND(",",Test!A75)+1)+1,FIND(",",Test!A75,FIND(",",Test!A75,FIND(",",Test!A75)+1)+1)-FIND(",",Test!A75,FIND(",",Test!A75)+1)-1),"")))</f>
        <v/>
      </c>
      <c r="C75" t="str">
        <f>IF(ISNUMBER(FIND("Query",Test!A75)),RIGHT(Test!A75,LEN(Test!A75)-FIND(",",Test!A75,FIND(",",Test!A75,FIND(",",Test!A75,FIND(",",Test!A75)+1)+1)+1)),IF(Test!B75&lt;&gt;"",RIGHT(Test!B75,LEN(Test!B75)-FIND(",",Test!B75,FIND(",",Test!B75)+1)),IF(Test!A75&lt;&gt;"",MID(Test!A75,FIND(",",Test!A75,FIND(",",Test!A75,FIND(",",Test!A75)+1)+1)+1,LEN(Test!A75)-FIND(",",Test!A75,FIND(",",Test!A75,FIND(",",Test!A75)+1)+1)),""))) &amp; IF(Test!C75&lt;&gt;"", " " &amp; SUBSTITUTE(Test!C75,"-",""), "")</f>
        <v/>
      </c>
    </row>
    <row r="76" spans="1:3" x14ac:dyDescent="0.25">
      <c r="A76" t="str">
        <f>IF(Test!A76="", "", IF(ISNUMBER(FIND("Query",Test!A76)), "AS Query ZMMIMR91 , ZGRIR_ALV", IF(LEFT(Test!A76,1)="7", "AS " &amp; Test!A76, "AS " &amp; IF(Test!B76="",SUBSTITUTE(MID(Test!A76,FIND(",",Test!A76)+1,FIND(",",Test!A76,FIND(",",Test!A76)+1)-FIND(",",Test!A76)-1),"Cube ",""),LEFT(Test!B76,FIND(",",Test!B76)-1)))))</f>
        <v/>
      </c>
      <c r="B76" t="str">
        <f>IF(ISNUMBER(SEARCH("Query", Test!A76)), MID(Test!A76,FIND(",", Test!A76,FIND(",", Test!A76,FIND(",", Test!A76)+1)+1)+1, FIND(",", Test!A76,FIND(",", Test!A76,FIND(",", Test!A76,FIND(",", Test!A76)+1)+1)+1)-FIND(",", Test!A76,FIND(",", Test!A76,FIND(",", Test!A76)+1)+1)-1), IF(Test!B76&lt;&gt;"",MID(Test!B76,FIND(",",Test!B76)+1,FIND(",",Test!B76,FIND(",",Test!B76)+1)-FIND(",",Test!B76)-1),IF(Test!A76&lt;&gt;"",MID(Test!A76,FIND(",",Test!A76,FIND(",",Test!A76)+1)+1,FIND(",",Test!A76,FIND(",",Test!A76,FIND(",",Test!A76)+1)+1)-FIND(",",Test!A76,FIND(",",Test!A76)+1)-1),"")))</f>
        <v/>
      </c>
      <c r="C76" t="str">
        <f>IF(ISNUMBER(FIND("Query",Test!A76)),RIGHT(Test!A76,LEN(Test!A76)-FIND(",",Test!A76,FIND(",",Test!A76,FIND(",",Test!A76,FIND(",",Test!A76)+1)+1)+1)),IF(Test!B76&lt;&gt;"",RIGHT(Test!B76,LEN(Test!B76)-FIND(",",Test!B76,FIND(",",Test!B76)+1)),IF(Test!A76&lt;&gt;"",MID(Test!A76,FIND(",",Test!A76,FIND(",",Test!A76,FIND(",",Test!A76)+1)+1)+1,LEN(Test!A76)-FIND(",",Test!A76,FIND(",",Test!A76,FIND(",",Test!A76)+1)+1)),""))) &amp; IF(Test!C76&lt;&gt;"", " " &amp; SUBSTITUTE(Test!C76,"-",""), "")</f>
        <v/>
      </c>
    </row>
    <row r="77" spans="1:3" x14ac:dyDescent="0.25">
      <c r="A77" t="str">
        <f>IF(Test!A77="", "", IF(ISNUMBER(FIND("Query",Test!A77)), "AS Query ZMMIMR91 , ZGRIR_ALV", IF(LEFT(Test!A77,1)="7", "AS " &amp; Test!A77, "AS " &amp; IF(Test!B77="",SUBSTITUTE(MID(Test!A77,FIND(",",Test!A77)+1,FIND(",",Test!A77,FIND(",",Test!A77)+1)-FIND(",",Test!A77)-1),"Cube ",""),LEFT(Test!B77,FIND(",",Test!B77)-1)))))</f>
        <v/>
      </c>
      <c r="B77" t="str">
        <f>IF(ISNUMBER(SEARCH("Query", Test!A77)), MID(Test!A77,FIND(",", Test!A77,FIND(",", Test!A77,FIND(",", Test!A77)+1)+1)+1, FIND(",", Test!A77,FIND(",", Test!A77,FIND(",", Test!A77,FIND(",", Test!A77)+1)+1)+1)-FIND(",", Test!A77,FIND(",", Test!A77,FIND(",", Test!A77)+1)+1)-1), IF(Test!B77&lt;&gt;"",MID(Test!B77,FIND(",",Test!B77)+1,FIND(",",Test!B77,FIND(",",Test!B77)+1)-FIND(",",Test!B77)-1),IF(Test!A77&lt;&gt;"",MID(Test!A77,FIND(",",Test!A77,FIND(",",Test!A77)+1)+1,FIND(",",Test!A77,FIND(",",Test!A77,FIND(",",Test!A77)+1)+1)-FIND(",",Test!A77,FIND(",",Test!A77)+1)-1),"")))</f>
        <v/>
      </c>
      <c r="C77" t="str">
        <f>IF(ISNUMBER(FIND("Query",Test!A77)),RIGHT(Test!A77,LEN(Test!A77)-FIND(",",Test!A77,FIND(",",Test!A77,FIND(",",Test!A77,FIND(",",Test!A77)+1)+1)+1)),IF(Test!B77&lt;&gt;"",RIGHT(Test!B77,LEN(Test!B77)-FIND(",",Test!B77,FIND(",",Test!B77)+1)),IF(Test!A77&lt;&gt;"",MID(Test!A77,FIND(",",Test!A77,FIND(",",Test!A77,FIND(",",Test!A77)+1)+1)+1,LEN(Test!A77)-FIND(",",Test!A77,FIND(",",Test!A77,FIND(",",Test!A77)+1)+1)),""))) &amp; IF(Test!C77&lt;&gt;"", " " &amp; SUBSTITUTE(Test!C77,"-",""), "")</f>
        <v/>
      </c>
    </row>
    <row r="78" spans="1:3" x14ac:dyDescent="0.25">
      <c r="A78" t="str">
        <f>IF(Test!A78="", "", IF(ISNUMBER(FIND("Query",Test!A78)), "AS Query ZMMIMR91 , ZGRIR_ALV", IF(LEFT(Test!A78,1)="7", "AS " &amp; Test!A78, "AS " &amp; IF(Test!B78="",SUBSTITUTE(MID(Test!A78,FIND(",",Test!A78)+1,FIND(",",Test!A78,FIND(",",Test!A78)+1)-FIND(",",Test!A78)-1),"Cube ",""),LEFT(Test!B78,FIND(",",Test!B78)-1)))))</f>
        <v/>
      </c>
      <c r="B78" t="str">
        <f>IF(ISNUMBER(SEARCH("Query", Test!A78)), MID(Test!A78,FIND(",", Test!A78,FIND(",", Test!A78,FIND(",", Test!A78)+1)+1)+1, FIND(",", Test!A78,FIND(",", Test!A78,FIND(",", Test!A78,FIND(",", Test!A78)+1)+1)+1)-FIND(",", Test!A78,FIND(",", Test!A78,FIND(",", Test!A78)+1)+1)-1), IF(Test!B78&lt;&gt;"",MID(Test!B78,FIND(",",Test!B78)+1,FIND(",",Test!B78,FIND(",",Test!B78)+1)-FIND(",",Test!B78)-1),IF(Test!A78&lt;&gt;"",MID(Test!A78,FIND(",",Test!A78,FIND(",",Test!A78)+1)+1,FIND(",",Test!A78,FIND(",",Test!A78,FIND(",",Test!A78)+1)+1)-FIND(",",Test!A78,FIND(",",Test!A78)+1)-1),"")))</f>
        <v/>
      </c>
      <c r="C78" t="str">
        <f>IF(ISNUMBER(FIND("Query",Test!A78)),RIGHT(Test!A78,LEN(Test!A78)-FIND(",",Test!A78,FIND(",",Test!A78,FIND(",",Test!A78,FIND(",",Test!A78)+1)+1)+1)),IF(Test!B78&lt;&gt;"",RIGHT(Test!B78,LEN(Test!B78)-FIND(",",Test!B78,FIND(",",Test!B78)+1)),IF(Test!A78&lt;&gt;"",MID(Test!A78,FIND(",",Test!A78,FIND(",",Test!A78,FIND(",",Test!A78)+1)+1)+1,LEN(Test!A78)-FIND(",",Test!A78,FIND(",",Test!A78,FIND(",",Test!A78)+1)+1)),""))) &amp; IF(Test!C78&lt;&gt;"", " " &amp; SUBSTITUTE(Test!C78,"-",""), "")</f>
        <v/>
      </c>
    </row>
    <row r="79" spans="1:3" x14ac:dyDescent="0.25">
      <c r="A79" t="str">
        <f>IF(Test!A79="", "", IF(ISNUMBER(FIND("Query",Test!A79)), "AS Query ZMMIMR91 , ZGRIR_ALV", IF(LEFT(Test!A79,1)="7", "AS " &amp; Test!A79, "AS " &amp; IF(Test!B79="",SUBSTITUTE(MID(Test!A79,FIND(",",Test!A79)+1,FIND(",",Test!A79,FIND(",",Test!A79)+1)-FIND(",",Test!A79)-1),"Cube ",""),LEFT(Test!B79,FIND(",",Test!B79)-1)))))</f>
        <v/>
      </c>
      <c r="B79" t="str">
        <f>IF(ISNUMBER(SEARCH("Query", Test!A79)), MID(Test!A79,FIND(",", Test!A79,FIND(",", Test!A79,FIND(",", Test!A79)+1)+1)+1, FIND(",", Test!A79,FIND(",", Test!A79,FIND(",", Test!A79,FIND(",", Test!A79)+1)+1)+1)-FIND(",", Test!A79,FIND(",", Test!A79,FIND(",", Test!A79)+1)+1)-1), IF(Test!B79&lt;&gt;"",MID(Test!B79,FIND(",",Test!B79)+1,FIND(",",Test!B79,FIND(",",Test!B79)+1)-FIND(",",Test!B79)-1),IF(Test!A79&lt;&gt;"",MID(Test!A79,FIND(",",Test!A79,FIND(",",Test!A79)+1)+1,FIND(",",Test!A79,FIND(",",Test!A79,FIND(",",Test!A79)+1)+1)-FIND(",",Test!A79,FIND(",",Test!A79)+1)-1),"")))</f>
        <v/>
      </c>
      <c r="C79" t="str">
        <f>IF(ISNUMBER(FIND("Query",Test!A79)),RIGHT(Test!A79,LEN(Test!A79)-FIND(",",Test!A79,FIND(",",Test!A79,FIND(",",Test!A79,FIND(",",Test!A79)+1)+1)+1)),IF(Test!B79&lt;&gt;"",RIGHT(Test!B79,LEN(Test!B79)-FIND(",",Test!B79,FIND(",",Test!B79)+1)),IF(Test!A79&lt;&gt;"",MID(Test!A79,FIND(",",Test!A79,FIND(",",Test!A79,FIND(",",Test!A79)+1)+1)+1,LEN(Test!A79)-FIND(",",Test!A79,FIND(",",Test!A79,FIND(",",Test!A79)+1)+1)),""))) &amp; IF(Test!C79&lt;&gt;"", " " &amp; SUBSTITUTE(Test!C79,"-",""), "")</f>
        <v/>
      </c>
    </row>
    <row r="80" spans="1:3" x14ac:dyDescent="0.25">
      <c r="A80" t="str">
        <f>IF(Test!A80="", "", IF(ISNUMBER(FIND("Query",Test!A80)), "AS Query ZMMIMR91 , ZGRIR_ALV", IF(LEFT(Test!A80,1)="7", "AS " &amp; Test!A80, "AS " &amp; IF(Test!B80="",SUBSTITUTE(MID(Test!A80,FIND(",",Test!A80)+1,FIND(",",Test!A80,FIND(",",Test!A80)+1)-FIND(",",Test!A80)-1),"Cube ",""),LEFT(Test!B80,FIND(",",Test!B80)-1)))))</f>
        <v/>
      </c>
      <c r="B80" t="str">
        <f>IF(ISNUMBER(SEARCH("Query", Test!A80)), MID(Test!A80,FIND(",", Test!A80,FIND(",", Test!A80,FIND(",", Test!A80)+1)+1)+1, FIND(",", Test!A80,FIND(",", Test!A80,FIND(",", Test!A80,FIND(",", Test!A80)+1)+1)+1)-FIND(",", Test!A80,FIND(",", Test!A80,FIND(",", Test!A80)+1)+1)-1), IF(Test!B80&lt;&gt;"",MID(Test!B80,FIND(",",Test!B80)+1,FIND(",",Test!B80,FIND(",",Test!B80)+1)-FIND(",",Test!B80)-1),IF(Test!A80&lt;&gt;"",MID(Test!A80,FIND(",",Test!A80,FIND(",",Test!A80)+1)+1,FIND(",",Test!A80,FIND(",",Test!A80,FIND(",",Test!A80)+1)+1)-FIND(",",Test!A80,FIND(",",Test!A80)+1)-1),"")))</f>
        <v/>
      </c>
      <c r="C80" t="str">
        <f>IF(ISNUMBER(FIND("Query",Test!A80)),RIGHT(Test!A80,LEN(Test!A80)-FIND(",",Test!A80,FIND(",",Test!A80,FIND(",",Test!A80,FIND(",",Test!A80)+1)+1)+1)),IF(Test!B80&lt;&gt;"",RIGHT(Test!B80,LEN(Test!B80)-FIND(",",Test!B80,FIND(",",Test!B80)+1)),IF(Test!A80&lt;&gt;"",MID(Test!A80,FIND(",",Test!A80,FIND(",",Test!A80,FIND(",",Test!A80)+1)+1)+1,LEN(Test!A80)-FIND(",",Test!A80,FIND(",",Test!A80,FIND(",",Test!A80)+1)+1)),""))) &amp; IF(Test!C80&lt;&gt;"", " " &amp; SUBSTITUTE(Test!C80,"-",""), "")</f>
        <v/>
      </c>
    </row>
    <row r="81" spans="1:3" x14ac:dyDescent="0.25">
      <c r="A81" t="str">
        <f>IF(Test!A81="", "", IF(ISNUMBER(FIND("Query",Test!A81)), "AS Query ZMMIMR91 , ZGRIR_ALV", IF(LEFT(Test!A81,1)="7", "AS " &amp; Test!A81, "AS " &amp; IF(Test!B81="",SUBSTITUTE(MID(Test!A81,FIND(",",Test!A81)+1,FIND(",",Test!A81,FIND(",",Test!A81)+1)-FIND(",",Test!A81)-1),"Cube ",""),LEFT(Test!B81,FIND(",",Test!B81)-1)))))</f>
        <v/>
      </c>
      <c r="B81" t="str">
        <f>IF(ISNUMBER(SEARCH("Query", Test!A81)), MID(Test!A81,FIND(",", Test!A81,FIND(",", Test!A81,FIND(",", Test!A81)+1)+1)+1, FIND(",", Test!A81,FIND(",", Test!A81,FIND(",", Test!A81,FIND(",", Test!A81)+1)+1)+1)-FIND(",", Test!A81,FIND(",", Test!A81,FIND(",", Test!A81)+1)+1)-1), IF(Test!B81&lt;&gt;"",MID(Test!B81,FIND(",",Test!B81)+1,FIND(",",Test!B81,FIND(",",Test!B81)+1)-FIND(",",Test!B81)-1),IF(Test!A81&lt;&gt;"",MID(Test!A81,FIND(",",Test!A81,FIND(",",Test!A81)+1)+1,FIND(",",Test!A81,FIND(",",Test!A81,FIND(",",Test!A81)+1)+1)-FIND(",",Test!A81,FIND(",",Test!A81)+1)-1),"")))</f>
        <v/>
      </c>
      <c r="C81" t="str">
        <f>IF(ISNUMBER(FIND("Query",Test!A81)),RIGHT(Test!A81,LEN(Test!A81)-FIND(",",Test!A81,FIND(",",Test!A81,FIND(",",Test!A81,FIND(",",Test!A81)+1)+1)+1)),IF(Test!B81&lt;&gt;"",RIGHT(Test!B81,LEN(Test!B81)-FIND(",",Test!B81,FIND(",",Test!B81)+1)),IF(Test!A81&lt;&gt;"",MID(Test!A81,FIND(",",Test!A81,FIND(",",Test!A81,FIND(",",Test!A81)+1)+1)+1,LEN(Test!A81)-FIND(",",Test!A81,FIND(",",Test!A81,FIND(",",Test!A81)+1)+1)),""))) &amp; IF(Test!C81&lt;&gt;"", " " &amp; SUBSTITUTE(Test!C81,"-",""), "")</f>
        <v/>
      </c>
    </row>
    <row r="82" spans="1:3" x14ac:dyDescent="0.25">
      <c r="A82" t="str">
        <f>IF(Test!A82="", "", IF(ISNUMBER(FIND("Query",Test!A82)), "AS Query ZMMIMR91 , ZGRIR_ALV", IF(LEFT(Test!A82,1)="7", "AS " &amp; Test!A82, "AS " &amp; IF(Test!B82="",SUBSTITUTE(MID(Test!A82,FIND(",",Test!A82)+1,FIND(",",Test!A82,FIND(",",Test!A82)+1)-FIND(",",Test!A82)-1),"Cube ",""),LEFT(Test!B82,FIND(",",Test!B82)-1)))))</f>
        <v/>
      </c>
      <c r="B82" t="str">
        <f>IF(ISNUMBER(SEARCH("Query", Test!A82)), MID(Test!A82,FIND(",", Test!A82,FIND(",", Test!A82,FIND(",", Test!A82)+1)+1)+1, FIND(",", Test!A82,FIND(",", Test!A82,FIND(",", Test!A82,FIND(",", Test!A82)+1)+1)+1)-FIND(",", Test!A82,FIND(",", Test!A82,FIND(",", Test!A82)+1)+1)-1), IF(Test!B82&lt;&gt;"",MID(Test!B82,FIND(",",Test!B82)+1,FIND(",",Test!B82,FIND(",",Test!B82)+1)-FIND(",",Test!B82)-1),IF(Test!A82&lt;&gt;"",MID(Test!A82,FIND(",",Test!A82,FIND(",",Test!A82)+1)+1,FIND(",",Test!A82,FIND(",",Test!A82,FIND(",",Test!A82)+1)+1)-FIND(",",Test!A82,FIND(",",Test!A82)+1)-1),"")))</f>
        <v/>
      </c>
      <c r="C82" t="str">
        <f>IF(ISNUMBER(FIND("Query",Test!A82)),RIGHT(Test!A82,LEN(Test!A82)-FIND(",",Test!A82,FIND(",",Test!A82,FIND(",",Test!A82,FIND(",",Test!A82)+1)+1)+1)),IF(Test!B82&lt;&gt;"",RIGHT(Test!B82,LEN(Test!B82)-FIND(",",Test!B82,FIND(",",Test!B82)+1)),IF(Test!A82&lt;&gt;"",MID(Test!A82,FIND(",",Test!A82,FIND(",",Test!A82,FIND(",",Test!A82)+1)+1)+1,LEN(Test!A82)-FIND(",",Test!A82,FIND(",",Test!A82,FIND(",",Test!A82)+1)+1)),""))) &amp; IF(Test!C82&lt;&gt;"", " " &amp; SUBSTITUTE(Test!C82,"-",""), "")</f>
        <v/>
      </c>
    </row>
    <row r="83" spans="1:3" x14ac:dyDescent="0.25">
      <c r="A83" t="str">
        <f>IF(Test!A83="", "", IF(ISNUMBER(FIND("Query",Test!A83)), "AS Query ZMMIMR91 , ZGRIR_ALV", IF(LEFT(Test!A83,1)="7", "AS " &amp; Test!A83, "AS " &amp; IF(Test!B83="",SUBSTITUTE(MID(Test!A83,FIND(",",Test!A83)+1,FIND(",",Test!A83,FIND(",",Test!A83)+1)-FIND(",",Test!A83)-1),"Cube ",""),LEFT(Test!B83,FIND(",",Test!B83)-1)))))</f>
        <v/>
      </c>
      <c r="B83" t="str">
        <f>IF(ISNUMBER(SEARCH("Query", Test!A83)), MID(Test!A83,FIND(",", Test!A83,FIND(",", Test!A83,FIND(",", Test!A83)+1)+1)+1, FIND(",", Test!A83,FIND(",", Test!A83,FIND(",", Test!A83,FIND(",", Test!A83)+1)+1)+1)-FIND(",", Test!A83,FIND(",", Test!A83,FIND(",", Test!A83)+1)+1)-1), IF(Test!B83&lt;&gt;"",MID(Test!B83,FIND(",",Test!B83)+1,FIND(",",Test!B83,FIND(",",Test!B83)+1)-FIND(",",Test!B83)-1),IF(Test!A83&lt;&gt;"",MID(Test!A83,FIND(",",Test!A83,FIND(",",Test!A83)+1)+1,FIND(",",Test!A83,FIND(",",Test!A83,FIND(",",Test!A83)+1)+1)-FIND(",",Test!A83,FIND(",",Test!A83)+1)-1),"")))</f>
        <v/>
      </c>
      <c r="C83" t="str">
        <f>IF(ISNUMBER(FIND("Query",Test!A83)),RIGHT(Test!A83,LEN(Test!A83)-FIND(",",Test!A83,FIND(",",Test!A83,FIND(",",Test!A83,FIND(",",Test!A83)+1)+1)+1)),IF(Test!B83&lt;&gt;"",RIGHT(Test!B83,LEN(Test!B83)-FIND(",",Test!B83,FIND(",",Test!B83)+1)),IF(Test!A83&lt;&gt;"",MID(Test!A83,FIND(",",Test!A83,FIND(",",Test!A83,FIND(",",Test!A83)+1)+1)+1,LEN(Test!A83)-FIND(",",Test!A83,FIND(",",Test!A83,FIND(",",Test!A83)+1)+1)),""))) &amp; IF(Test!C83&lt;&gt;"", " " &amp; SUBSTITUTE(Test!C83,"-",""), "")</f>
        <v/>
      </c>
    </row>
    <row r="84" spans="1:3" x14ac:dyDescent="0.25">
      <c r="A84" t="str">
        <f>IF(Test!A84="", "", IF(ISNUMBER(FIND("Query",Test!A84)), "AS Query ZMMIMR91 , ZGRIR_ALV", IF(LEFT(Test!A84,1)="7", "AS " &amp; Test!A84, "AS " &amp; IF(Test!B84="",SUBSTITUTE(MID(Test!A84,FIND(",",Test!A84)+1,FIND(",",Test!A84,FIND(",",Test!A84)+1)-FIND(",",Test!A84)-1),"Cube ",""),LEFT(Test!B84,FIND(",",Test!B84)-1)))))</f>
        <v/>
      </c>
      <c r="B84" t="str">
        <f>IF(ISNUMBER(SEARCH("Query", Test!A84)), MID(Test!A84,FIND(",", Test!A84,FIND(",", Test!A84,FIND(",", Test!A84)+1)+1)+1, FIND(",", Test!A84,FIND(",", Test!A84,FIND(",", Test!A84,FIND(",", Test!A84)+1)+1)+1)-FIND(",", Test!A84,FIND(",", Test!A84,FIND(",", Test!A84)+1)+1)-1), IF(Test!B84&lt;&gt;"",MID(Test!B84,FIND(",",Test!B84)+1,FIND(",",Test!B84,FIND(",",Test!B84)+1)-FIND(",",Test!B84)-1),IF(Test!A84&lt;&gt;"",MID(Test!A84,FIND(",",Test!A84,FIND(",",Test!A84)+1)+1,FIND(",",Test!A84,FIND(",",Test!A84,FIND(",",Test!A84)+1)+1)-FIND(",",Test!A84,FIND(",",Test!A84)+1)-1),"")))</f>
        <v/>
      </c>
      <c r="C84" t="str">
        <f>IF(ISNUMBER(FIND("Query",Test!A84)),RIGHT(Test!A84,LEN(Test!A84)-FIND(",",Test!A84,FIND(",",Test!A84,FIND(",",Test!A84,FIND(",",Test!A84)+1)+1)+1)),IF(Test!B84&lt;&gt;"",RIGHT(Test!B84,LEN(Test!B84)-FIND(",",Test!B84,FIND(",",Test!B84)+1)),IF(Test!A84&lt;&gt;"",MID(Test!A84,FIND(",",Test!A84,FIND(",",Test!A84,FIND(",",Test!A84)+1)+1)+1,LEN(Test!A84)-FIND(",",Test!A84,FIND(",",Test!A84,FIND(",",Test!A84)+1)+1)),""))) &amp; IF(Test!C84&lt;&gt;"", " " &amp; SUBSTITUTE(Test!C84,"-",""), "")</f>
        <v/>
      </c>
    </row>
    <row r="85" spans="1:3" x14ac:dyDescent="0.25">
      <c r="A85" t="str">
        <f>IF(Test!A85="", "", IF(ISNUMBER(FIND("Query",Test!A85)), "AS Query ZMMIMR91 , ZGRIR_ALV", IF(LEFT(Test!A85,1)="7", "AS " &amp; Test!A85, "AS " &amp; IF(Test!B85="",SUBSTITUTE(MID(Test!A85,FIND(",",Test!A85)+1,FIND(",",Test!A85,FIND(",",Test!A85)+1)-FIND(",",Test!A85)-1),"Cube ",""),LEFT(Test!B85,FIND(",",Test!B85)-1)))))</f>
        <v/>
      </c>
      <c r="B85" t="str">
        <f>IF(ISNUMBER(SEARCH("Query", Test!A85)), MID(Test!A85,FIND(",", Test!A85,FIND(",", Test!A85,FIND(",", Test!A85)+1)+1)+1, FIND(",", Test!A85,FIND(",", Test!A85,FIND(",", Test!A85,FIND(",", Test!A85)+1)+1)+1)-FIND(",", Test!A85,FIND(",", Test!A85,FIND(",", Test!A85)+1)+1)-1), IF(Test!B85&lt;&gt;"",MID(Test!B85,FIND(",",Test!B85)+1,FIND(",",Test!B85,FIND(",",Test!B85)+1)-FIND(",",Test!B85)-1),IF(Test!A85&lt;&gt;"",MID(Test!A85,FIND(",",Test!A85,FIND(",",Test!A85)+1)+1,FIND(",",Test!A85,FIND(",",Test!A85,FIND(",",Test!A85)+1)+1)-FIND(",",Test!A85,FIND(",",Test!A85)+1)-1),"")))</f>
        <v/>
      </c>
      <c r="C85" t="str">
        <f>IF(ISNUMBER(FIND("Query",Test!A85)),RIGHT(Test!A85,LEN(Test!A85)-FIND(",",Test!A85,FIND(",",Test!A85,FIND(",",Test!A85,FIND(",",Test!A85)+1)+1)+1)),IF(Test!B85&lt;&gt;"",RIGHT(Test!B85,LEN(Test!B85)-FIND(",",Test!B85,FIND(",",Test!B85)+1)),IF(Test!A85&lt;&gt;"",MID(Test!A85,FIND(",",Test!A85,FIND(",",Test!A85,FIND(",",Test!A85)+1)+1)+1,LEN(Test!A85)-FIND(",",Test!A85,FIND(",",Test!A85,FIND(",",Test!A85)+1)+1)),""))) &amp; IF(Test!C85&lt;&gt;"", " " &amp; SUBSTITUTE(Test!C85,"-",""), "")</f>
        <v/>
      </c>
    </row>
    <row r="86" spans="1:3" x14ac:dyDescent="0.25">
      <c r="A86" t="str">
        <f>IF(Test!A86="", "", IF(ISNUMBER(FIND("Query",Test!A86)), "AS Query ZMMIMR91 , ZGRIR_ALV", IF(LEFT(Test!A86,1)="7", "AS " &amp; Test!A86, "AS " &amp; IF(Test!B86="",SUBSTITUTE(MID(Test!A86,FIND(",",Test!A86)+1,FIND(",",Test!A86,FIND(",",Test!A86)+1)-FIND(",",Test!A86)-1),"Cube ",""),LEFT(Test!B86,FIND(",",Test!B86)-1)))))</f>
        <v/>
      </c>
      <c r="B86" t="str">
        <f>IF(ISNUMBER(SEARCH("Query", Test!A86)), MID(Test!A86,FIND(",", Test!A86,FIND(",", Test!A86,FIND(",", Test!A86)+1)+1)+1, FIND(",", Test!A86,FIND(",", Test!A86,FIND(",", Test!A86,FIND(",", Test!A86)+1)+1)+1)-FIND(",", Test!A86,FIND(",", Test!A86,FIND(",", Test!A86)+1)+1)-1), IF(Test!B86&lt;&gt;"",MID(Test!B86,FIND(",",Test!B86)+1,FIND(",",Test!B86,FIND(",",Test!B86)+1)-FIND(",",Test!B86)-1),IF(Test!A86&lt;&gt;"",MID(Test!A86,FIND(",",Test!A86,FIND(",",Test!A86)+1)+1,FIND(",",Test!A86,FIND(",",Test!A86,FIND(",",Test!A86)+1)+1)-FIND(",",Test!A86,FIND(",",Test!A86)+1)-1),"")))</f>
        <v/>
      </c>
      <c r="C86" t="str">
        <f>IF(ISNUMBER(FIND("Query",Test!A86)),RIGHT(Test!A86,LEN(Test!A86)-FIND(",",Test!A86,FIND(",",Test!A86,FIND(",",Test!A86,FIND(",",Test!A86)+1)+1)+1)),IF(Test!B86&lt;&gt;"",RIGHT(Test!B86,LEN(Test!B86)-FIND(",",Test!B86,FIND(",",Test!B86)+1)),IF(Test!A86&lt;&gt;"",MID(Test!A86,FIND(",",Test!A86,FIND(",",Test!A86,FIND(",",Test!A86)+1)+1)+1,LEN(Test!A86)-FIND(",",Test!A86,FIND(",",Test!A86,FIND(",",Test!A86)+1)+1)),""))) &amp; IF(Test!C86&lt;&gt;"", " " &amp; SUBSTITUTE(Test!C86,"-",""), "")</f>
        <v/>
      </c>
    </row>
    <row r="87" spans="1:3" x14ac:dyDescent="0.25">
      <c r="A87" t="str">
        <f>IF(Test!A87="", "", IF(ISNUMBER(FIND("Query",Test!A87)), "AS Query ZMMIMR91 , ZGRIR_ALV", IF(LEFT(Test!A87,1)="7", "AS " &amp; Test!A87, "AS " &amp; IF(Test!B87="",SUBSTITUTE(MID(Test!A87,FIND(",",Test!A87)+1,FIND(",",Test!A87,FIND(",",Test!A87)+1)-FIND(",",Test!A87)-1),"Cube ",""),LEFT(Test!B87,FIND(",",Test!B87)-1)))))</f>
        <v/>
      </c>
      <c r="B87" t="str">
        <f>IF(ISNUMBER(SEARCH("Query", Test!A87)), MID(Test!A87,FIND(",", Test!A87,FIND(",", Test!A87,FIND(",", Test!A87)+1)+1)+1, FIND(",", Test!A87,FIND(",", Test!A87,FIND(",", Test!A87,FIND(",", Test!A87)+1)+1)+1)-FIND(",", Test!A87,FIND(",", Test!A87,FIND(",", Test!A87)+1)+1)-1), IF(Test!B87&lt;&gt;"",MID(Test!B87,FIND(",",Test!B87)+1,FIND(",",Test!B87,FIND(",",Test!B87)+1)-FIND(",",Test!B87)-1),IF(Test!A87&lt;&gt;"",MID(Test!A87,FIND(",",Test!A87,FIND(",",Test!A87)+1)+1,FIND(",",Test!A87,FIND(",",Test!A87,FIND(",",Test!A87)+1)+1)-FIND(",",Test!A87,FIND(",",Test!A87)+1)-1),"")))</f>
        <v/>
      </c>
      <c r="C87" t="str">
        <f>IF(ISNUMBER(FIND("Query",Test!A87)),RIGHT(Test!A87,LEN(Test!A87)-FIND(",",Test!A87,FIND(",",Test!A87,FIND(",",Test!A87,FIND(",",Test!A87)+1)+1)+1)),IF(Test!B87&lt;&gt;"",RIGHT(Test!B87,LEN(Test!B87)-FIND(",",Test!B87,FIND(",",Test!B87)+1)),IF(Test!A87&lt;&gt;"",MID(Test!A87,FIND(",",Test!A87,FIND(",",Test!A87,FIND(",",Test!A87)+1)+1)+1,LEN(Test!A87)-FIND(",",Test!A87,FIND(",",Test!A87,FIND(",",Test!A87)+1)+1)),""))) &amp; IF(Test!C87&lt;&gt;"", " " &amp; SUBSTITUTE(Test!C87,"-",""), "")</f>
        <v/>
      </c>
    </row>
    <row r="88" spans="1:3" x14ac:dyDescent="0.25">
      <c r="A88" t="str">
        <f>IF(Test!A88="", "", IF(ISNUMBER(FIND("Query",Test!A88)), "AS Query ZMMIMR91 , ZGRIR_ALV", IF(LEFT(Test!A88,1)="7", "AS " &amp; Test!A88, "AS " &amp; IF(Test!B88="",SUBSTITUTE(MID(Test!A88,FIND(",",Test!A88)+1,FIND(",",Test!A88,FIND(",",Test!A88)+1)-FIND(",",Test!A88)-1),"Cube ",""),LEFT(Test!B88,FIND(",",Test!B88)-1)))))</f>
        <v/>
      </c>
      <c r="B88" t="str">
        <f>IF(ISNUMBER(SEARCH("Query", Test!A88)), MID(Test!A88,FIND(",", Test!A88,FIND(",", Test!A88,FIND(",", Test!A88)+1)+1)+1, FIND(",", Test!A88,FIND(",", Test!A88,FIND(",", Test!A88,FIND(",", Test!A88)+1)+1)+1)-FIND(",", Test!A88,FIND(",", Test!A88,FIND(",", Test!A88)+1)+1)-1), IF(Test!B88&lt;&gt;"",MID(Test!B88,FIND(",",Test!B88)+1,FIND(",",Test!B88,FIND(",",Test!B88)+1)-FIND(",",Test!B88)-1),IF(Test!A88&lt;&gt;"",MID(Test!A88,FIND(",",Test!A88,FIND(",",Test!A88)+1)+1,FIND(",",Test!A88,FIND(",",Test!A88,FIND(",",Test!A88)+1)+1)-FIND(",",Test!A88,FIND(",",Test!A88)+1)-1),"")))</f>
        <v/>
      </c>
      <c r="C88" t="str">
        <f>IF(ISNUMBER(FIND("Query",Test!A88)),RIGHT(Test!A88,LEN(Test!A88)-FIND(",",Test!A88,FIND(",",Test!A88,FIND(",",Test!A88,FIND(",",Test!A88)+1)+1)+1)),IF(Test!B88&lt;&gt;"",RIGHT(Test!B88,LEN(Test!B88)-FIND(",",Test!B88,FIND(",",Test!B88)+1)),IF(Test!A88&lt;&gt;"",MID(Test!A88,FIND(",",Test!A88,FIND(",",Test!A88,FIND(",",Test!A88)+1)+1)+1,LEN(Test!A88)-FIND(",",Test!A88,FIND(",",Test!A88,FIND(",",Test!A88)+1)+1)),""))) &amp; IF(Test!C88&lt;&gt;"", " " &amp; SUBSTITUTE(Test!C88,"-",""), "")</f>
        <v/>
      </c>
    </row>
    <row r="89" spans="1:3" x14ac:dyDescent="0.25">
      <c r="A89" t="str">
        <f>IF(Test!A89="", "", IF(ISNUMBER(FIND("Query",Test!A89)), "AS Query ZMMIMR91 , ZGRIR_ALV", IF(LEFT(Test!A89,1)="7", "AS " &amp; Test!A89, "AS " &amp; IF(Test!B89="",SUBSTITUTE(MID(Test!A89,FIND(",",Test!A89)+1,FIND(",",Test!A89,FIND(",",Test!A89)+1)-FIND(",",Test!A89)-1),"Cube ",""),LEFT(Test!B89,FIND(",",Test!B89)-1)))))</f>
        <v/>
      </c>
      <c r="B89" t="str">
        <f>IF(ISNUMBER(SEARCH("Query", Test!A89)), MID(Test!A89,FIND(",", Test!A89,FIND(",", Test!A89,FIND(",", Test!A89)+1)+1)+1, FIND(",", Test!A89,FIND(",", Test!A89,FIND(",", Test!A89,FIND(",", Test!A89)+1)+1)+1)-FIND(",", Test!A89,FIND(",", Test!A89,FIND(",", Test!A89)+1)+1)-1), IF(Test!B89&lt;&gt;"",MID(Test!B89,FIND(",",Test!B89)+1,FIND(",",Test!B89,FIND(",",Test!B89)+1)-FIND(",",Test!B89)-1),IF(Test!A89&lt;&gt;"",MID(Test!A89,FIND(",",Test!A89,FIND(",",Test!A89)+1)+1,FIND(",",Test!A89,FIND(",",Test!A89,FIND(",",Test!A89)+1)+1)-FIND(",",Test!A89,FIND(",",Test!A89)+1)-1),"")))</f>
        <v/>
      </c>
      <c r="C89" t="str">
        <f>IF(ISNUMBER(FIND("Query",Test!A89)),RIGHT(Test!A89,LEN(Test!A89)-FIND(",",Test!A89,FIND(",",Test!A89,FIND(",",Test!A89,FIND(",",Test!A89)+1)+1)+1)),IF(Test!B89&lt;&gt;"",RIGHT(Test!B89,LEN(Test!B89)-FIND(",",Test!B89,FIND(",",Test!B89)+1)),IF(Test!A89&lt;&gt;"",MID(Test!A89,FIND(",",Test!A89,FIND(",",Test!A89,FIND(",",Test!A89)+1)+1)+1,LEN(Test!A89)-FIND(",",Test!A89,FIND(",",Test!A89,FIND(",",Test!A89)+1)+1)),""))) &amp; IF(Test!C89&lt;&gt;"", " " &amp; SUBSTITUTE(Test!C89,"-",""), "")</f>
        <v/>
      </c>
    </row>
    <row r="90" spans="1:3" x14ac:dyDescent="0.25">
      <c r="A90" t="str">
        <f>IF(Test!A90="", "", IF(ISNUMBER(FIND("Query",Test!A90)), "AS Query ZMMIMR91 , ZGRIR_ALV", IF(LEFT(Test!A90,1)="7", "AS " &amp; Test!A90, "AS " &amp; IF(Test!B90="",SUBSTITUTE(MID(Test!A90,FIND(",",Test!A90)+1,FIND(",",Test!A90,FIND(",",Test!A90)+1)-FIND(",",Test!A90)-1),"Cube ",""),LEFT(Test!B90,FIND(",",Test!B90)-1)))))</f>
        <v/>
      </c>
      <c r="B90" t="str">
        <f>IF(ISNUMBER(SEARCH("Query", Test!A90)), MID(Test!A90,FIND(",", Test!A90,FIND(",", Test!A90,FIND(",", Test!A90)+1)+1)+1, FIND(",", Test!A90,FIND(",", Test!A90,FIND(",", Test!A90,FIND(",", Test!A90)+1)+1)+1)-FIND(",", Test!A90,FIND(",", Test!A90,FIND(",", Test!A90)+1)+1)-1), IF(Test!B90&lt;&gt;"",MID(Test!B90,FIND(",",Test!B90)+1,FIND(",",Test!B90,FIND(",",Test!B90)+1)-FIND(",",Test!B90)-1),IF(Test!A90&lt;&gt;"",MID(Test!A90,FIND(",",Test!A90,FIND(",",Test!A90)+1)+1,FIND(",",Test!A90,FIND(",",Test!A90,FIND(",",Test!A90)+1)+1)-FIND(",",Test!A90,FIND(",",Test!A90)+1)-1),"")))</f>
        <v/>
      </c>
      <c r="C90" t="str">
        <f>IF(ISNUMBER(FIND("Query",Test!A90)),RIGHT(Test!A90,LEN(Test!A90)-FIND(",",Test!A90,FIND(",",Test!A90,FIND(",",Test!A90,FIND(",",Test!A90)+1)+1)+1)),IF(Test!B90&lt;&gt;"",RIGHT(Test!B90,LEN(Test!B90)-FIND(",",Test!B90,FIND(",",Test!B90)+1)),IF(Test!A90&lt;&gt;"",MID(Test!A90,FIND(",",Test!A90,FIND(",",Test!A90,FIND(",",Test!A90)+1)+1)+1,LEN(Test!A90)-FIND(",",Test!A90,FIND(",",Test!A90,FIND(",",Test!A90)+1)+1)),""))) &amp; IF(Test!C90&lt;&gt;"", " " &amp; SUBSTITUTE(Test!C90,"-",""), "")</f>
        <v/>
      </c>
    </row>
    <row r="91" spans="1:3" x14ac:dyDescent="0.25">
      <c r="A91" t="str">
        <f>IF(Test!A91="", "", IF(ISNUMBER(FIND("Query",Test!A91)), "AS Query ZMMIMR91 , ZGRIR_ALV", IF(LEFT(Test!A91,1)="7", "AS " &amp; Test!A91, "AS " &amp; IF(Test!B91="",SUBSTITUTE(MID(Test!A91,FIND(",",Test!A91)+1,FIND(",",Test!A91,FIND(",",Test!A91)+1)-FIND(",",Test!A91)-1),"Cube ",""),LEFT(Test!B91,FIND(",",Test!B91)-1)))))</f>
        <v/>
      </c>
      <c r="B91" t="str">
        <f>IF(ISNUMBER(SEARCH("Query", Test!A91)), MID(Test!A91,FIND(",", Test!A91,FIND(",", Test!A91,FIND(",", Test!A91)+1)+1)+1, FIND(",", Test!A91,FIND(",", Test!A91,FIND(",", Test!A91,FIND(",", Test!A91)+1)+1)+1)-FIND(",", Test!A91,FIND(",", Test!A91,FIND(",", Test!A91)+1)+1)-1), IF(Test!B91&lt;&gt;"",MID(Test!B91,FIND(",",Test!B91)+1,FIND(",",Test!B91,FIND(",",Test!B91)+1)-FIND(",",Test!B91)-1),IF(Test!A91&lt;&gt;"",MID(Test!A91,FIND(",",Test!A91,FIND(",",Test!A91)+1)+1,FIND(",",Test!A91,FIND(",",Test!A91,FIND(",",Test!A91)+1)+1)-FIND(",",Test!A91,FIND(",",Test!A91)+1)-1),"")))</f>
        <v/>
      </c>
      <c r="C91" t="str">
        <f>IF(ISNUMBER(FIND("Query",Test!A91)),RIGHT(Test!A91,LEN(Test!A91)-FIND(",",Test!A91,FIND(",",Test!A91,FIND(",",Test!A91,FIND(",",Test!A91)+1)+1)+1)),IF(Test!B91&lt;&gt;"",RIGHT(Test!B91,LEN(Test!B91)-FIND(",",Test!B91,FIND(",",Test!B91)+1)),IF(Test!A91&lt;&gt;"",MID(Test!A91,FIND(",",Test!A91,FIND(",",Test!A91,FIND(",",Test!A91)+1)+1)+1,LEN(Test!A91)-FIND(",",Test!A91,FIND(",",Test!A91,FIND(",",Test!A91)+1)+1)),""))) &amp; IF(Test!C91&lt;&gt;"", " " &amp; SUBSTITUTE(Test!C91,"-",""), "")</f>
        <v/>
      </c>
    </row>
    <row r="92" spans="1:3" x14ac:dyDescent="0.25">
      <c r="A92" t="str">
        <f>IF(Test!A92="", "", IF(ISNUMBER(FIND("Query",Test!A92)), "AS Query ZMMIMR91 , ZGRIR_ALV", IF(LEFT(Test!A92,1)="7", "AS " &amp; Test!A92, "AS " &amp; IF(Test!B92="",SUBSTITUTE(MID(Test!A92,FIND(",",Test!A92)+1,FIND(",",Test!A92,FIND(",",Test!A92)+1)-FIND(",",Test!A92)-1),"Cube ",""),LEFT(Test!B92,FIND(",",Test!B92)-1)))))</f>
        <v/>
      </c>
      <c r="B92" t="str">
        <f>IF(ISNUMBER(SEARCH("Query", Test!A92)), MID(Test!A92,FIND(",", Test!A92,FIND(",", Test!A92,FIND(",", Test!A92)+1)+1)+1, FIND(",", Test!A92,FIND(",", Test!A92,FIND(",", Test!A92,FIND(",", Test!A92)+1)+1)+1)-FIND(",", Test!A92,FIND(",", Test!A92,FIND(",", Test!A92)+1)+1)-1), IF(Test!B92&lt;&gt;"",MID(Test!B92,FIND(",",Test!B92)+1,FIND(",",Test!B92,FIND(",",Test!B92)+1)-FIND(",",Test!B92)-1),IF(Test!A92&lt;&gt;"",MID(Test!A92,FIND(",",Test!A92,FIND(",",Test!A92)+1)+1,FIND(",",Test!A92,FIND(",",Test!A92,FIND(",",Test!A92)+1)+1)-FIND(",",Test!A92,FIND(",",Test!A92)+1)-1),"")))</f>
        <v/>
      </c>
      <c r="C92" t="str">
        <f>IF(ISNUMBER(FIND("Query",Test!A92)),RIGHT(Test!A92,LEN(Test!A92)-FIND(",",Test!A92,FIND(",",Test!A92,FIND(",",Test!A92,FIND(",",Test!A92)+1)+1)+1)),IF(Test!B92&lt;&gt;"",RIGHT(Test!B92,LEN(Test!B92)-FIND(",",Test!B92,FIND(",",Test!B92)+1)),IF(Test!A92&lt;&gt;"",MID(Test!A92,FIND(",",Test!A92,FIND(",",Test!A92,FIND(",",Test!A92)+1)+1)+1,LEN(Test!A92)-FIND(",",Test!A92,FIND(",",Test!A92,FIND(",",Test!A92)+1)+1)),""))) &amp; IF(Test!C92&lt;&gt;"", " " &amp; SUBSTITUTE(Test!C92,"-",""), "")</f>
        <v/>
      </c>
    </row>
    <row r="93" spans="1:3" x14ac:dyDescent="0.25">
      <c r="A93" t="str">
        <f>IF(Test!A93="", "", IF(ISNUMBER(FIND("Query",Test!A93)), "AS Query ZMMIMR91 , ZGRIR_ALV", IF(LEFT(Test!A93,1)="7", "AS " &amp; Test!A93, "AS " &amp; IF(Test!B93="",SUBSTITUTE(MID(Test!A93,FIND(",",Test!A93)+1,FIND(",",Test!A93,FIND(",",Test!A93)+1)-FIND(",",Test!A93)-1),"Cube ",""),LEFT(Test!B93,FIND(",",Test!B93)-1)))))</f>
        <v/>
      </c>
      <c r="B93" t="str">
        <f>IF(ISNUMBER(SEARCH("Query", Test!A93)), MID(Test!A93,FIND(",", Test!A93,FIND(",", Test!A93,FIND(",", Test!A93)+1)+1)+1, FIND(",", Test!A93,FIND(",", Test!A93,FIND(",", Test!A93,FIND(",", Test!A93)+1)+1)+1)-FIND(",", Test!A93,FIND(",", Test!A93,FIND(",", Test!A93)+1)+1)-1), IF(Test!B93&lt;&gt;"",MID(Test!B93,FIND(",",Test!B93)+1,FIND(",",Test!B93,FIND(",",Test!B93)+1)-FIND(",",Test!B93)-1),IF(Test!A93&lt;&gt;"",MID(Test!A93,FIND(",",Test!A93,FIND(",",Test!A93)+1)+1,FIND(",",Test!A93,FIND(",",Test!A93,FIND(",",Test!A93)+1)+1)-FIND(",",Test!A93,FIND(",",Test!A93)+1)-1),"")))</f>
        <v/>
      </c>
      <c r="C93" t="str">
        <f>IF(ISNUMBER(FIND("Query",Test!A93)),RIGHT(Test!A93,LEN(Test!A93)-FIND(",",Test!A93,FIND(",",Test!A93,FIND(",",Test!A93,FIND(",",Test!A93)+1)+1)+1)),IF(Test!B93&lt;&gt;"",RIGHT(Test!B93,LEN(Test!B93)-FIND(",",Test!B93,FIND(",",Test!B93)+1)),IF(Test!A93&lt;&gt;"",MID(Test!A93,FIND(",",Test!A93,FIND(",",Test!A93,FIND(",",Test!A93)+1)+1)+1,LEN(Test!A93)-FIND(",",Test!A93,FIND(",",Test!A93,FIND(",",Test!A93)+1)+1)),""))) &amp; IF(Test!C93&lt;&gt;"", " " &amp; SUBSTITUTE(Test!C93,"-",""), "")</f>
        <v/>
      </c>
    </row>
    <row r="94" spans="1:3" x14ac:dyDescent="0.25">
      <c r="A94" t="str">
        <f>IF(Test!A94="", "", IF(ISNUMBER(FIND("Query",Test!A94)), "AS Query ZMMIMR91 , ZGRIR_ALV", IF(LEFT(Test!A94,1)="7", "AS " &amp; Test!A94, "AS " &amp; IF(Test!B94="",SUBSTITUTE(MID(Test!A94,FIND(",",Test!A94)+1,FIND(",",Test!A94,FIND(",",Test!A94)+1)-FIND(",",Test!A94)-1),"Cube ",""),LEFT(Test!B94,FIND(",",Test!B94)-1)))))</f>
        <v/>
      </c>
      <c r="B94" t="str">
        <f>IF(ISNUMBER(SEARCH("Query", Test!A94)), MID(Test!A94,FIND(",", Test!A94,FIND(",", Test!A94,FIND(",", Test!A94)+1)+1)+1, FIND(",", Test!A94,FIND(",", Test!A94,FIND(",", Test!A94,FIND(",", Test!A94)+1)+1)+1)-FIND(",", Test!A94,FIND(",", Test!A94,FIND(",", Test!A94)+1)+1)-1), IF(Test!B94&lt;&gt;"",MID(Test!B94,FIND(",",Test!B94)+1,FIND(",",Test!B94,FIND(",",Test!B94)+1)-FIND(",",Test!B94)-1),IF(Test!A94&lt;&gt;"",MID(Test!A94,FIND(",",Test!A94,FIND(",",Test!A94)+1)+1,FIND(",",Test!A94,FIND(",",Test!A94,FIND(",",Test!A94)+1)+1)-FIND(",",Test!A94,FIND(",",Test!A94)+1)-1),"")))</f>
        <v/>
      </c>
      <c r="C94" t="str">
        <f>IF(ISNUMBER(FIND("Query",Test!A94)),RIGHT(Test!A94,LEN(Test!A94)-FIND(",",Test!A94,FIND(",",Test!A94,FIND(",",Test!A94,FIND(",",Test!A94)+1)+1)+1)),IF(Test!B94&lt;&gt;"",RIGHT(Test!B94,LEN(Test!B94)-FIND(",",Test!B94,FIND(",",Test!B94)+1)),IF(Test!A94&lt;&gt;"",MID(Test!A94,FIND(",",Test!A94,FIND(",",Test!A94,FIND(",",Test!A94)+1)+1)+1,LEN(Test!A94)-FIND(",",Test!A94,FIND(",",Test!A94,FIND(",",Test!A94)+1)+1)),""))) &amp; IF(Test!C94&lt;&gt;"", " " &amp; SUBSTITUTE(Test!C94,"-",""), "")</f>
        <v/>
      </c>
    </row>
    <row r="95" spans="1:3" x14ac:dyDescent="0.25">
      <c r="A95" t="str">
        <f>IF(Test!A95="", "", IF(ISNUMBER(FIND("Query",Test!A95)), "AS Query ZMMIMR91 , ZGRIR_ALV", IF(LEFT(Test!A95,1)="7", "AS " &amp; Test!A95, "AS " &amp; IF(Test!B95="",SUBSTITUTE(MID(Test!A95,FIND(",",Test!A95)+1,FIND(",",Test!A95,FIND(",",Test!A95)+1)-FIND(",",Test!A95)-1),"Cube ",""),LEFT(Test!B95,FIND(",",Test!B95)-1)))))</f>
        <v/>
      </c>
      <c r="B95" t="str">
        <f>IF(ISNUMBER(SEARCH("Query", Test!A95)), MID(Test!A95,FIND(",", Test!A95,FIND(",", Test!A95,FIND(",", Test!A95)+1)+1)+1, FIND(",", Test!A95,FIND(",", Test!A95,FIND(",", Test!A95,FIND(",", Test!A95)+1)+1)+1)-FIND(",", Test!A95,FIND(",", Test!A95,FIND(",", Test!A95)+1)+1)-1), IF(Test!B95&lt;&gt;"",MID(Test!B95,FIND(",",Test!B95)+1,FIND(",",Test!B95,FIND(",",Test!B95)+1)-FIND(",",Test!B95)-1),IF(Test!A95&lt;&gt;"",MID(Test!A95,FIND(",",Test!A95,FIND(",",Test!A95)+1)+1,FIND(",",Test!A95,FIND(",",Test!A95,FIND(",",Test!A95)+1)+1)-FIND(",",Test!A95,FIND(",",Test!A95)+1)-1),"")))</f>
        <v/>
      </c>
      <c r="C95" t="str">
        <f>IF(ISNUMBER(FIND("Query",Test!A95)),RIGHT(Test!A95,LEN(Test!A95)-FIND(",",Test!A95,FIND(",",Test!A95,FIND(",",Test!A95,FIND(",",Test!A95)+1)+1)+1)),IF(Test!B95&lt;&gt;"",RIGHT(Test!B95,LEN(Test!B95)-FIND(",",Test!B95,FIND(",",Test!B95)+1)),IF(Test!A95&lt;&gt;"",MID(Test!A95,FIND(",",Test!A95,FIND(",",Test!A95,FIND(",",Test!A95)+1)+1)+1,LEN(Test!A95)-FIND(",",Test!A95,FIND(",",Test!A95,FIND(",",Test!A95)+1)+1)),""))) &amp; IF(Test!C95&lt;&gt;"", " " &amp; SUBSTITUTE(Test!C95,"-",""), "")</f>
        <v/>
      </c>
    </row>
    <row r="96" spans="1:3" x14ac:dyDescent="0.25">
      <c r="A96" t="str">
        <f>IF(Test!A96="", "", IF(ISNUMBER(FIND("Query",Test!A96)), "AS Query ZMMIMR91 , ZGRIR_ALV", IF(LEFT(Test!A96,1)="7", "AS " &amp; Test!A96, "AS " &amp; IF(Test!B96="",SUBSTITUTE(MID(Test!A96,FIND(",",Test!A96)+1,FIND(",",Test!A96,FIND(",",Test!A96)+1)-FIND(",",Test!A96)-1),"Cube ",""),LEFT(Test!B96,FIND(",",Test!B96)-1)))))</f>
        <v/>
      </c>
      <c r="B96" t="str">
        <f>IF(ISNUMBER(SEARCH("Query", Test!A96)), MID(Test!A96,FIND(",", Test!A96,FIND(",", Test!A96,FIND(",", Test!A96)+1)+1)+1, FIND(",", Test!A96,FIND(",", Test!A96,FIND(",", Test!A96,FIND(",", Test!A96)+1)+1)+1)-FIND(",", Test!A96,FIND(",", Test!A96,FIND(",", Test!A96)+1)+1)-1), IF(Test!B96&lt;&gt;"",MID(Test!B96,FIND(",",Test!B96)+1,FIND(",",Test!B96,FIND(",",Test!B96)+1)-FIND(",",Test!B96)-1),IF(Test!A96&lt;&gt;"",MID(Test!A96,FIND(",",Test!A96,FIND(",",Test!A96)+1)+1,FIND(",",Test!A96,FIND(",",Test!A96,FIND(",",Test!A96)+1)+1)-FIND(",",Test!A96,FIND(",",Test!A96)+1)-1),"")))</f>
        <v/>
      </c>
      <c r="C96" t="str">
        <f>IF(ISNUMBER(FIND("Query",Test!A96)),RIGHT(Test!A96,LEN(Test!A96)-FIND(",",Test!A96,FIND(",",Test!A96,FIND(",",Test!A96,FIND(",",Test!A96)+1)+1)+1)),IF(Test!B96&lt;&gt;"",RIGHT(Test!B96,LEN(Test!B96)-FIND(",",Test!B96,FIND(",",Test!B96)+1)),IF(Test!A96&lt;&gt;"",MID(Test!A96,FIND(",",Test!A96,FIND(",",Test!A96,FIND(",",Test!A96)+1)+1)+1,LEN(Test!A96)-FIND(",",Test!A96,FIND(",",Test!A96,FIND(",",Test!A96)+1)+1)),""))) &amp; IF(Test!C96&lt;&gt;"", " " &amp; SUBSTITUTE(Test!C96,"-",""), "")</f>
        <v/>
      </c>
    </row>
    <row r="97" spans="1:3" x14ac:dyDescent="0.25">
      <c r="A97" t="str">
        <f>IF(Test!A97="", "", IF(ISNUMBER(FIND("Query",Test!A97)), "AS Query ZMMIMR91 , ZGRIR_ALV", IF(LEFT(Test!A97,1)="7", "AS " &amp; Test!A97, "AS " &amp; IF(Test!B97="",SUBSTITUTE(MID(Test!A97,FIND(",",Test!A97)+1,FIND(",",Test!A97,FIND(",",Test!A97)+1)-FIND(",",Test!A97)-1),"Cube ",""),LEFT(Test!B97,FIND(",",Test!B97)-1)))))</f>
        <v/>
      </c>
      <c r="B97" t="str">
        <f>IF(ISNUMBER(SEARCH("Query", Test!A97)), MID(Test!A97,FIND(",", Test!A97,FIND(",", Test!A97,FIND(",", Test!A97)+1)+1)+1, FIND(",", Test!A97,FIND(",", Test!A97,FIND(",", Test!A97,FIND(",", Test!A97)+1)+1)+1)-FIND(",", Test!A97,FIND(",", Test!A97,FIND(",", Test!A97)+1)+1)-1), IF(Test!B97&lt;&gt;"",MID(Test!B97,FIND(",",Test!B97)+1,FIND(",",Test!B97,FIND(",",Test!B97)+1)-FIND(",",Test!B97)-1),IF(Test!A97&lt;&gt;"",MID(Test!A97,FIND(",",Test!A97,FIND(",",Test!A97)+1)+1,FIND(",",Test!A97,FIND(",",Test!A97,FIND(",",Test!A97)+1)+1)-FIND(",",Test!A97,FIND(",",Test!A97)+1)-1),"")))</f>
        <v/>
      </c>
      <c r="C97" t="str">
        <f>IF(ISNUMBER(FIND("Query",Test!A97)),RIGHT(Test!A97,LEN(Test!A97)-FIND(",",Test!A97,FIND(",",Test!A97,FIND(",",Test!A97,FIND(",",Test!A97)+1)+1)+1)),IF(Test!B97&lt;&gt;"",RIGHT(Test!B97,LEN(Test!B97)-FIND(",",Test!B97,FIND(",",Test!B97)+1)),IF(Test!A97&lt;&gt;"",MID(Test!A97,FIND(",",Test!A97,FIND(",",Test!A97,FIND(",",Test!A97)+1)+1)+1,LEN(Test!A97)-FIND(",",Test!A97,FIND(",",Test!A97,FIND(",",Test!A97)+1)+1)),""))) &amp; IF(Test!C97&lt;&gt;"", " " &amp; SUBSTITUTE(Test!C97,"-",""), "")</f>
        <v/>
      </c>
    </row>
    <row r="98" spans="1:3" x14ac:dyDescent="0.25">
      <c r="A98" t="str">
        <f>IF(Test!A98="", "", IF(ISNUMBER(FIND("Query",Test!A98)), "AS Query ZMMIMR91 , ZGRIR_ALV", IF(LEFT(Test!A98,1)="7", "AS " &amp; Test!A98, "AS " &amp; IF(Test!B98="",SUBSTITUTE(MID(Test!A98,FIND(",",Test!A98)+1,FIND(",",Test!A98,FIND(",",Test!A98)+1)-FIND(",",Test!A98)-1),"Cube ",""),LEFT(Test!B98,FIND(",",Test!B98)-1)))))</f>
        <v/>
      </c>
      <c r="B98" t="str">
        <f>IF(ISNUMBER(SEARCH("Query", Test!A98)), MID(Test!A98,FIND(",", Test!A98,FIND(",", Test!A98,FIND(",", Test!A98)+1)+1)+1, FIND(",", Test!A98,FIND(",", Test!A98,FIND(",", Test!A98,FIND(",", Test!A98)+1)+1)+1)-FIND(",", Test!A98,FIND(",", Test!A98,FIND(",", Test!A98)+1)+1)-1), IF(Test!B98&lt;&gt;"",MID(Test!B98,FIND(",",Test!B98)+1,FIND(",",Test!B98,FIND(",",Test!B98)+1)-FIND(",",Test!B98)-1),IF(Test!A98&lt;&gt;"",MID(Test!A98,FIND(",",Test!A98,FIND(",",Test!A98)+1)+1,FIND(",",Test!A98,FIND(",",Test!A98,FIND(",",Test!A98)+1)+1)-FIND(",",Test!A98,FIND(",",Test!A98)+1)-1),"")))</f>
        <v/>
      </c>
      <c r="C98" t="str">
        <f>IF(ISNUMBER(FIND("Query",Test!A98)),RIGHT(Test!A98,LEN(Test!A98)-FIND(",",Test!A98,FIND(",",Test!A98,FIND(",",Test!A98,FIND(",",Test!A98)+1)+1)+1)),IF(Test!B98&lt;&gt;"",RIGHT(Test!B98,LEN(Test!B98)-FIND(",",Test!B98,FIND(",",Test!B98)+1)),IF(Test!A98&lt;&gt;"",MID(Test!A98,FIND(",",Test!A98,FIND(",",Test!A98,FIND(",",Test!A98)+1)+1)+1,LEN(Test!A98)-FIND(",",Test!A98,FIND(",",Test!A98,FIND(",",Test!A98)+1)+1)),""))) &amp; IF(Test!C98&lt;&gt;"", " " &amp; SUBSTITUTE(Test!C98,"-",""), "")</f>
        <v/>
      </c>
    </row>
    <row r="99" spans="1:3" x14ac:dyDescent="0.25">
      <c r="A99" t="str">
        <f>IF(Test!A99="", "", IF(ISNUMBER(FIND("Query",Test!A99)), "AS Query ZMMIMR91 , ZGRIR_ALV", IF(LEFT(Test!A99,1)="7", "AS " &amp; Test!A99, "AS " &amp; IF(Test!B99="",SUBSTITUTE(MID(Test!A99,FIND(",",Test!A99)+1,FIND(",",Test!A99,FIND(",",Test!A99)+1)-FIND(",",Test!A99)-1),"Cube ",""),LEFT(Test!B99,FIND(",",Test!B99)-1)))))</f>
        <v/>
      </c>
      <c r="B99" t="str">
        <f>IF(ISNUMBER(SEARCH("Query", Test!A99)), MID(Test!A99,FIND(",", Test!A99,FIND(",", Test!A99,FIND(",", Test!A99)+1)+1)+1, FIND(",", Test!A99,FIND(",", Test!A99,FIND(",", Test!A99,FIND(",", Test!A99)+1)+1)+1)-FIND(",", Test!A99,FIND(",", Test!A99,FIND(",", Test!A99)+1)+1)-1), IF(Test!B99&lt;&gt;"",MID(Test!B99,FIND(",",Test!B99)+1,FIND(",",Test!B99,FIND(",",Test!B99)+1)-FIND(",",Test!B99)-1),IF(Test!A99&lt;&gt;"",MID(Test!A99,FIND(",",Test!A99,FIND(",",Test!A99)+1)+1,FIND(",",Test!A99,FIND(",",Test!A99,FIND(",",Test!A99)+1)+1)-FIND(",",Test!A99,FIND(",",Test!A99)+1)-1),"")))</f>
        <v/>
      </c>
      <c r="C99" t="str">
        <f>IF(ISNUMBER(FIND("Query",Test!A99)),RIGHT(Test!A99,LEN(Test!A99)-FIND(",",Test!A99,FIND(",",Test!A99,FIND(",",Test!A99,FIND(",",Test!A99)+1)+1)+1)),IF(Test!B99&lt;&gt;"",RIGHT(Test!B99,LEN(Test!B99)-FIND(",",Test!B99,FIND(",",Test!B99)+1)),IF(Test!A99&lt;&gt;"",MID(Test!A99,FIND(",",Test!A99,FIND(",",Test!A99,FIND(",",Test!A99)+1)+1)+1,LEN(Test!A99)-FIND(",",Test!A99,FIND(",",Test!A99,FIND(",",Test!A99)+1)+1)),""))) &amp; IF(Test!C99&lt;&gt;"", " " &amp; SUBSTITUTE(Test!C99,"-",""), "")</f>
        <v/>
      </c>
    </row>
    <row r="100" spans="1:3" x14ac:dyDescent="0.25">
      <c r="A100" t="str">
        <f>IF(Test!A100="", "", IF(ISNUMBER(FIND("Query",Test!A100)), "AS Query ZMMIMR91 , ZGRIR_ALV", IF(LEFT(Test!A100,1)="7", "AS " &amp; Test!A100, "AS " &amp; IF(Test!B100="",SUBSTITUTE(MID(Test!A100,FIND(",",Test!A100)+1,FIND(",",Test!A100,FIND(",",Test!A100)+1)-FIND(",",Test!A100)-1),"Cube ",""),LEFT(Test!B100,FIND(",",Test!B100)-1)))))</f>
        <v/>
      </c>
      <c r="B100" t="str">
        <f>IF(ISNUMBER(SEARCH("Query", Test!A100)), MID(Test!A100,FIND(",", Test!A100,FIND(",", Test!A100,FIND(",", Test!A100)+1)+1)+1, FIND(",", Test!A100,FIND(",", Test!A100,FIND(",", Test!A100,FIND(",", Test!A100)+1)+1)+1)-FIND(",", Test!A100,FIND(",", Test!A100,FIND(",", Test!A100)+1)+1)-1), IF(Test!B100&lt;&gt;"",MID(Test!B100,FIND(",",Test!B100)+1,FIND(",",Test!B100,FIND(",",Test!B100)+1)-FIND(",",Test!B100)-1),IF(Test!A100&lt;&gt;"",MID(Test!A100,FIND(",",Test!A100,FIND(",",Test!A100)+1)+1,FIND(",",Test!A100,FIND(",",Test!A100,FIND(",",Test!A100)+1)+1)-FIND(",",Test!A100,FIND(",",Test!A100)+1)-1),"")))</f>
        <v/>
      </c>
      <c r="C100" t="str">
        <f>IF(ISNUMBER(FIND("Query",Test!A100)),RIGHT(Test!A100,LEN(Test!A100)-FIND(",",Test!A100,FIND(",",Test!A100,FIND(",",Test!A100,FIND(",",Test!A100)+1)+1)+1)),IF(Test!B100&lt;&gt;"",RIGHT(Test!B100,LEN(Test!B100)-FIND(",",Test!B100,FIND(",",Test!B100)+1)),IF(Test!A100&lt;&gt;"",MID(Test!A100,FIND(",",Test!A100,FIND(",",Test!A100,FIND(",",Test!A100)+1)+1)+1,LEN(Test!A100)-FIND(",",Test!A100,FIND(",",Test!A100,FIND(",",Test!A100)+1)+1)),""))) &amp; IF(Test!C100&lt;&gt;"", " " &amp; SUBSTITUTE(Test!C100,"-",""), "")</f>
        <v/>
      </c>
    </row>
    <row r="101" spans="1:3" x14ac:dyDescent="0.25">
      <c r="A101" t="str">
        <f>IF(Test!A101="", "", IF(ISNUMBER(FIND("Query",Test!A101)), "AS Query ZMMIMR91 , ZGRIR_ALV", IF(LEFT(Test!A101,1)="7", "AS " &amp; Test!A101, "AS " &amp; IF(Test!B101="",SUBSTITUTE(MID(Test!A101,FIND(",",Test!A101)+1,FIND(",",Test!A101,FIND(",",Test!A101)+1)-FIND(",",Test!A101)-1),"Cube ",""),LEFT(Test!B101,FIND(",",Test!B101)-1)))))</f>
        <v/>
      </c>
      <c r="B101" t="str">
        <f>IF(ISNUMBER(SEARCH("Query", Test!A101)), MID(Test!A101,FIND(",", Test!A101,FIND(",", Test!A101,FIND(",", Test!A101)+1)+1)+1, FIND(",", Test!A101,FIND(",", Test!A101,FIND(",", Test!A101,FIND(",", Test!A101)+1)+1)+1)-FIND(",", Test!A101,FIND(",", Test!A101,FIND(",", Test!A101)+1)+1)-1), IF(Test!B101&lt;&gt;"",MID(Test!B101,FIND(",",Test!B101)+1,FIND(",",Test!B101,FIND(",",Test!B101)+1)-FIND(",",Test!B101)-1),IF(Test!A101&lt;&gt;"",MID(Test!A101,FIND(",",Test!A101,FIND(",",Test!A101)+1)+1,FIND(",",Test!A101,FIND(",",Test!A101,FIND(",",Test!A101)+1)+1)-FIND(",",Test!A101,FIND(",",Test!A101)+1)-1),"")))</f>
        <v/>
      </c>
      <c r="C101" t="str">
        <f>IF(ISNUMBER(FIND("Query",Test!A101)),RIGHT(Test!A101,LEN(Test!A101)-FIND(",",Test!A101,FIND(",",Test!A101,FIND(",",Test!A101,FIND(",",Test!A101)+1)+1)+1)),IF(Test!B101&lt;&gt;"",RIGHT(Test!B101,LEN(Test!B101)-FIND(",",Test!B101,FIND(",",Test!B101)+1)),IF(Test!A101&lt;&gt;"",MID(Test!A101,FIND(",",Test!A101,FIND(",",Test!A101,FIND(",",Test!A101)+1)+1)+1,LEN(Test!A101)-FIND(",",Test!A101,FIND(",",Test!A101,FIND(",",Test!A101)+1)+1)),""))) &amp; IF(Test!C101&lt;&gt;"", " " &amp; SUBSTITUTE(Test!C101,"-",""), "")</f>
        <v/>
      </c>
    </row>
    <row r="102" spans="1:3" x14ac:dyDescent="0.25">
      <c r="A102" t="str">
        <f>IF(Test!A102="", "", IF(ISNUMBER(FIND("Query",Test!A102)), "AS Query ZMMIMR91 , ZGRIR_ALV", IF(LEFT(Test!A102,1)="7", "AS " &amp; Test!A102, "AS " &amp; IF(Test!B102="",SUBSTITUTE(MID(Test!A102,FIND(",",Test!A102)+1,FIND(",",Test!A102,FIND(",",Test!A102)+1)-FIND(",",Test!A102)-1),"Cube ",""),LEFT(Test!B102,FIND(",",Test!B102)-1)))))</f>
        <v/>
      </c>
      <c r="B102" t="str">
        <f>IF(ISNUMBER(SEARCH("Query", Test!A102)), MID(Test!A102,FIND(",", Test!A102,FIND(",", Test!A102,FIND(",", Test!A102)+1)+1)+1, FIND(",", Test!A102,FIND(",", Test!A102,FIND(",", Test!A102,FIND(",", Test!A102)+1)+1)+1)-FIND(",", Test!A102,FIND(",", Test!A102,FIND(",", Test!A102)+1)+1)-1), IF(Test!B102&lt;&gt;"",MID(Test!B102,FIND(",",Test!B102)+1,FIND(",",Test!B102,FIND(",",Test!B102)+1)-FIND(",",Test!B102)-1),IF(Test!A102&lt;&gt;"",MID(Test!A102,FIND(",",Test!A102,FIND(",",Test!A102)+1)+1,FIND(",",Test!A102,FIND(",",Test!A102,FIND(",",Test!A102)+1)+1)-FIND(",",Test!A102,FIND(",",Test!A102)+1)-1),"")))</f>
        <v/>
      </c>
      <c r="C102" t="str">
        <f>IF(ISNUMBER(FIND("Query",Test!A102)),RIGHT(Test!A102,LEN(Test!A102)-FIND(",",Test!A102,FIND(",",Test!A102,FIND(",",Test!A102,FIND(",",Test!A102)+1)+1)+1)),IF(Test!B102&lt;&gt;"",RIGHT(Test!B102,LEN(Test!B102)-FIND(",",Test!B102,FIND(",",Test!B102)+1)),IF(Test!A102&lt;&gt;"",MID(Test!A102,FIND(",",Test!A102,FIND(",",Test!A102,FIND(",",Test!A102)+1)+1)+1,LEN(Test!A102)-FIND(",",Test!A102,FIND(",",Test!A102,FIND(",",Test!A102)+1)+1)),""))) &amp; IF(Test!C102&lt;&gt;"", " " &amp; SUBSTITUTE(Test!C102,"-",""), "")</f>
        <v/>
      </c>
    </row>
    <row r="103" spans="1:3" x14ac:dyDescent="0.25">
      <c r="A103" t="str">
        <f>IF(Test!A103="", "", IF(ISNUMBER(FIND("Query",Test!A103)), "AS Query ZMMIMR91 , ZGRIR_ALV", IF(LEFT(Test!A103,1)="7", "AS " &amp; Test!A103, "AS " &amp; IF(Test!B103="",SUBSTITUTE(MID(Test!A103,FIND(",",Test!A103)+1,FIND(",",Test!A103,FIND(",",Test!A103)+1)-FIND(",",Test!A103)-1),"Cube ",""),LEFT(Test!B103,FIND(",",Test!B103)-1)))))</f>
        <v/>
      </c>
      <c r="B103" t="str">
        <f>IF(ISNUMBER(SEARCH("Query", Test!A103)), MID(Test!A103,FIND(",", Test!A103,FIND(",", Test!A103,FIND(",", Test!A103)+1)+1)+1, FIND(",", Test!A103,FIND(",", Test!A103,FIND(",", Test!A103,FIND(",", Test!A103)+1)+1)+1)-FIND(",", Test!A103,FIND(",", Test!A103,FIND(",", Test!A103)+1)+1)-1), IF(Test!B103&lt;&gt;"",MID(Test!B103,FIND(",",Test!B103)+1,FIND(",",Test!B103,FIND(",",Test!B103)+1)-FIND(",",Test!B103)-1),IF(Test!A103&lt;&gt;"",MID(Test!A103,FIND(",",Test!A103,FIND(",",Test!A103)+1)+1,FIND(",",Test!A103,FIND(",",Test!A103,FIND(",",Test!A103)+1)+1)-FIND(",",Test!A103,FIND(",",Test!A103)+1)-1),"")))</f>
        <v/>
      </c>
      <c r="C103" t="str">
        <f>IF(ISNUMBER(FIND("Query",Test!A103)),RIGHT(Test!A103,LEN(Test!A103)-FIND(",",Test!A103,FIND(",",Test!A103,FIND(",",Test!A103,FIND(",",Test!A103)+1)+1)+1)),IF(Test!B103&lt;&gt;"",RIGHT(Test!B103,LEN(Test!B103)-FIND(",",Test!B103,FIND(",",Test!B103)+1)),IF(Test!A103&lt;&gt;"",MID(Test!A103,FIND(",",Test!A103,FIND(",",Test!A103,FIND(",",Test!A103)+1)+1)+1,LEN(Test!A103)-FIND(",",Test!A103,FIND(",",Test!A103,FIND(",",Test!A103)+1)+1)),""))) &amp; IF(Test!C103&lt;&gt;"", " " &amp; SUBSTITUTE(Test!C103,"-",""), "")</f>
        <v/>
      </c>
    </row>
    <row r="104" spans="1:3" x14ac:dyDescent="0.25">
      <c r="A104" t="str">
        <f>IF(Test!A104="", "", IF(ISNUMBER(FIND("Query",Test!A104)), "AS Query ZMMIMR91 , ZGRIR_ALV", IF(LEFT(Test!A104,1)="7", "AS " &amp; Test!A104, "AS " &amp; IF(Test!B104="",SUBSTITUTE(MID(Test!A104,FIND(",",Test!A104)+1,FIND(",",Test!A104,FIND(",",Test!A104)+1)-FIND(",",Test!A104)-1),"Cube ",""),LEFT(Test!B104,FIND(",",Test!B104)-1)))))</f>
        <v/>
      </c>
      <c r="B104" t="str">
        <f>IF(ISNUMBER(SEARCH("Query", Test!A104)), MID(Test!A104,FIND(",", Test!A104,FIND(",", Test!A104,FIND(",", Test!A104)+1)+1)+1, FIND(",", Test!A104,FIND(",", Test!A104,FIND(",", Test!A104,FIND(",", Test!A104)+1)+1)+1)-FIND(",", Test!A104,FIND(",", Test!A104,FIND(",", Test!A104)+1)+1)-1), IF(Test!B104&lt;&gt;"",MID(Test!B104,FIND(",",Test!B104)+1,FIND(",",Test!B104,FIND(",",Test!B104)+1)-FIND(",",Test!B104)-1),IF(Test!A104&lt;&gt;"",MID(Test!A104,FIND(",",Test!A104,FIND(",",Test!A104)+1)+1,FIND(",",Test!A104,FIND(",",Test!A104,FIND(",",Test!A104)+1)+1)-FIND(",",Test!A104,FIND(",",Test!A104)+1)-1),"")))</f>
        <v/>
      </c>
      <c r="C104" t="str">
        <f>IF(ISNUMBER(FIND("Query",Test!A104)),RIGHT(Test!A104,LEN(Test!A104)-FIND(",",Test!A104,FIND(",",Test!A104,FIND(",",Test!A104,FIND(",",Test!A104)+1)+1)+1)),IF(Test!B104&lt;&gt;"",RIGHT(Test!B104,LEN(Test!B104)-FIND(",",Test!B104,FIND(",",Test!B104)+1)),IF(Test!A104&lt;&gt;"",MID(Test!A104,FIND(",",Test!A104,FIND(",",Test!A104,FIND(",",Test!A104)+1)+1)+1,LEN(Test!A104)-FIND(",",Test!A104,FIND(",",Test!A104,FIND(",",Test!A104)+1)+1)),""))) &amp; IF(Test!C104&lt;&gt;"", " " &amp; SUBSTITUTE(Test!C104,"-",""), "")</f>
        <v/>
      </c>
    </row>
    <row r="105" spans="1:3" x14ac:dyDescent="0.25">
      <c r="A105" t="str">
        <f>IF(Test!A105="", "", IF(ISNUMBER(FIND("Query",Test!A105)), "AS Query ZMMIMR91 , ZGRIR_ALV", IF(LEFT(Test!A105,1)="7", "AS " &amp; Test!A105, "AS " &amp; IF(Test!B105="",SUBSTITUTE(MID(Test!A105,FIND(",",Test!A105)+1,FIND(",",Test!A105,FIND(",",Test!A105)+1)-FIND(",",Test!A105)-1),"Cube ",""),LEFT(Test!B105,FIND(",",Test!B105)-1)))))</f>
        <v/>
      </c>
      <c r="B105" t="str">
        <f>IF(ISNUMBER(SEARCH("Query", Test!A105)), MID(Test!A105,FIND(",", Test!A105,FIND(",", Test!A105,FIND(",", Test!A105)+1)+1)+1, FIND(",", Test!A105,FIND(",", Test!A105,FIND(",", Test!A105,FIND(",", Test!A105)+1)+1)+1)-FIND(",", Test!A105,FIND(",", Test!A105,FIND(",", Test!A105)+1)+1)-1), IF(Test!B105&lt;&gt;"",MID(Test!B105,FIND(",",Test!B105)+1,FIND(",",Test!B105,FIND(",",Test!B105)+1)-FIND(",",Test!B105)-1),IF(Test!A105&lt;&gt;"",MID(Test!A105,FIND(",",Test!A105,FIND(",",Test!A105)+1)+1,FIND(",",Test!A105,FIND(",",Test!A105,FIND(",",Test!A105)+1)+1)-FIND(",",Test!A105,FIND(",",Test!A105)+1)-1),"")))</f>
        <v/>
      </c>
      <c r="C105" t="str">
        <f>IF(ISNUMBER(FIND("Query",Test!A105)),RIGHT(Test!A105,LEN(Test!A105)-FIND(",",Test!A105,FIND(",",Test!A105,FIND(",",Test!A105,FIND(",",Test!A105)+1)+1)+1)),IF(Test!B105&lt;&gt;"",RIGHT(Test!B105,LEN(Test!B105)-FIND(",",Test!B105,FIND(",",Test!B105)+1)),IF(Test!A105&lt;&gt;"",MID(Test!A105,FIND(",",Test!A105,FIND(",",Test!A105,FIND(",",Test!A105)+1)+1)+1,LEN(Test!A105)-FIND(",",Test!A105,FIND(",",Test!A105,FIND(",",Test!A105)+1)+1)),""))) &amp; IF(Test!C105&lt;&gt;"", " " &amp; SUBSTITUTE(Test!C105,"-",""), "")</f>
        <v/>
      </c>
    </row>
    <row r="106" spans="1:3" x14ac:dyDescent="0.25">
      <c r="A106" t="str">
        <f>IF(Test!A106="", "", IF(ISNUMBER(FIND("Query",Test!A106)), "AS Query ZMMIMR91 , ZGRIR_ALV", IF(LEFT(Test!A106,1)="7", "AS " &amp; Test!A106, "AS " &amp; IF(Test!B106="",SUBSTITUTE(MID(Test!A106,FIND(",",Test!A106)+1,FIND(",",Test!A106,FIND(",",Test!A106)+1)-FIND(",",Test!A106)-1),"Cube ",""),LEFT(Test!B106,FIND(",",Test!B106)-1)))))</f>
        <v/>
      </c>
      <c r="B106" t="str">
        <f>IF(ISNUMBER(SEARCH("Query", Test!A106)), MID(Test!A106,FIND(",", Test!A106,FIND(",", Test!A106,FIND(",", Test!A106)+1)+1)+1, FIND(",", Test!A106,FIND(",", Test!A106,FIND(",", Test!A106,FIND(",", Test!A106)+1)+1)+1)-FIND(",", Test!A106,FIND(",", Test!A106,FIND(",", Test!A106)+1)+1)-1), IF(Test!B106&lt;&gt;"",MID(Test!B106,FIND(",",Test!B106)+1,FIND(",",Test!B106,FIND(",",Test!B106)+1)-FIND(",",Test!B106)-1),IF(Test!A106&lt;&gt;"",MID(Test!A106,FIND(",",Test!A106,FIND(",",Test!A106)+1)+1,FIND(",",Test!A106,FIND(",",Test!A106,FIND(",",Test!A106)+1)+1)-FIND(",",Test!A106,FIND(",",Test!A106)+1)-1),"")))</f>
        <v/>
      </c>
      <c r="C106" t="str">
        <f>IF(ISNUMBER(FIND("Query",Test!A106)),RIGHT(Test!A106,LEN(Test!A106)-FIND(",",Test!A106,FIND(",",Test!A106,FIND(",",Test!A106,FIND(",",Test!A106)+1)+1)+1)),IF(Test!B106&lt;&gt;"",RIGHT(Test!B106,LEN(Test!B106)-FIND(",",Test!B106,FIND(",",Test!B106)+1)),IF(Test!A106&lt;&gt;"",MID(Test!A106,FIND(",",Test!A106,FIND(",",Test!A106,FIND(",",Test!A106)+1)+1)+1,LEN(Test!A106)-FIND(",",Test!A106,FIND(",",Test!A106,FIND(",",Test!A106)+1)+1)),""))) &amp; IF(Test!C106&lt;&gt;"", " " &amp; SUBSTITUTE(Test!C106,"-",""), "")</f>
        <v/>
      </c>
    </row>
    <row r="107" spans="1:3" x14ac:dyDescent="0.25">
      <c r="A107" t="str">
        <f>IF(Test!A107="", "", IF(ISNUMBER(FIND("Query",Test!A107)), "AS Query ZMMIMR91 , ZGRIR_ALV", IF(LEFT(Test!A107,1)="7", "AS " &amp; Test!A107, "AS " &amp; IF(Test!B107="",SUBSTITUTE(MID(Test!A107,FIND(",",Test!A107)+1,FIND(",",Test!A107,FIND(",",Test!A107)+1)-FIND(",",Test!A107)-1),"Cube ",""),LEFT(Test!B107,FIND(",",Test!B107)-1)))))</f>
        <v/>
      </c>
      <c r="B107" t="str">
        <f>IF(ISNUMBER(SEARCH("Query", Test!A107)), MID(Test!A107,FIND(",", Test!A107,FIND(",", Test!A107,FIND(",", Test!A107)+1)+1)+1, FIND(",", Test!A107,FIND(",", Test!A107,FIND(",", Test!A107,FIND(",", Test!A107)+1)+1)+1)-FIND(",", Test!A107,FIND(",", Test!A107,FIND(",", Test!A107)+1)+1)-1), IF(Test!B107&lt;&gt;"",MID(Test!B107,FIND(",",Test!B107)+1,FIND(",",Test!B107,FIND(",",Test!B107)+1)-FIND(",",Test!B107)-1),IF(Test!A107&lt;&gt;"",MID(Test!A107,FIND(",",Test!A107,FIND(",",Test!A107)+1)+1,FIND(",",Test!A107,FIND(",",Test!A107,FIND(",",Test!A107)+1)+1)-FIND(",",Test!A107,FIND(",",Test!A107)+1)-1),"")))</f>
        <v/>
      </c>
      <c r="C107" t="str">
        <f>IF(ISNUMBER(FIND("Query",Test!A107)),RIGHT(Test!A107,LEN(Test!A107)-FIND(",",Test!A107,FIND(",",Test!A107,FIND(",",Test!A107,FIND(",",Test!A107)+1)+1)+1)),IF(Test!B107&lt;&gt;"",RIGHT(Test!B107,LEN(Test!B107)-FIND(",",Test!B107,FIND(",",Test!B107)+1)),IF(Test!A107&lt;&gt;"",MID(Test!A107,FIND(",",Test!A107,FIND(",",Test!A107,FIND(",",Test!A107)+1)+1)+1,LEN(Test!A107)-FIND(",",Test!A107,FIND(",",Test!A107,FIND(",",Test!A107)+1)+1)),""))) &amp; IF(Test!C107&lt;&gt;"", " " &amp; SUBSTITUTE(Test!C107,"-",""), "")</f>
        <v/>
      </c>
    </row>
    <row r="108" spans="1:3" x14ac:dyDescent="0.25">
      <c r="A108" t="str">
        <f>IF(Test!A108="", "", IF(ISNUMBER(FIND("Query",Test!A108)), "AS Query ZMMIMR91 , ZGRIR_ALV", IF(LEFT(Test!A108,1)="7", "AS " &amp; Test!A108, "AS " &amp; IF(Test!B108="",SUBSTITUTE(MID(Test!A108,FIND(",",Test!A108)+1,FIND(",",Test!A108,FIND(",",Test!A108)+1)-FIND(",",Test!A108)-1),"Cube ",""),LEFT(Test!B108,FIND(",",Test!B108)-1)))))</f>
        <v/>
      </c>
      <c r="B108" t="str">
        <f>IF(ISNUMBER(SEARCH("Query", Test!A108)), MID(Test!A108,FIND(",", Test!A108,FIND(",", Test!A108,FIND(",", Test!A108)+1)+1)+1, FIND(",", Test!A108,FIND(",", Test!A108,FIND(",", Test!A108,FIND(",", Test!A108)+1)+1)+1)-FIND(",", Test!A108,FIND(",", Test!A108,FIND(",", Test!A108)+1)+1)-1), IF(Test!B108&lt;&gt;"",MID(Test!B108,FIND(",",Test!B108)+1,FIND(",",Test!B108,FIND(",",Test!B108)+1)-FIND(",",Test!B108)-1),IF(Test!A108&lt;&gt;"",MID(Test!A108,FIND(",",Test!A108,FIND(",",Test!A108)+1)+1,FIND(",",Test!A108,FIND(",",Test!A108,FIND(",",Test!A108)+1)+1)-FIND(",",Test!A108,FIND(",",Test!A108)+1)-1),"")))</f>
        <v/>
      </c>
      <c r="C108" t="str">
        <f>IF(ISNUMBER(FIND("Query",Test!A108)),RIGHT(Test!A108,LEN(Test!A108)-FIND(",",Test!A108,FIND(",",Test!A108,FIND(",",Test!A108,FIND(",",Test!A108)+1)+1)+1)),IF(Test!B108&lt;&gt;"",RIGHT(Test!B108,LEN(Test!B108)-FIND(",",Test!B108,FIND(",",Test!B108)+1)),IF(Test!A108&lt;&gt;"",MID(Test!A108,FIND(",",Test!A108,FIND(",",Test!A108,FIND(",",Test!A108)+1)+1)+1,LEN(Test!A108)-FIND(",",Test!A108,FIND(",",Test!A108,FIND(",",Test!A108)+1)+1)),""))) &amp; IF(Test!C108&lt;&gt;"", " " &amp; SUBSTITUTE(Test!C108,"-",""), "")</f>
        <v/>
      </c>
    </row>
    <row r="109" spans="1:3" x14ac:dyDescent="0.25">
      <c r="A109" t="str">
        <f>IF(Test!A109="", "", IF(ISNUMBER(FIND("Query",Test!A109)), "AS Query ZMMIMR91 , ZGRIR_ALV", IF(LEFT(Test!A109,1)="7", "AS " &amp; Test!A109, "AS " &amp; IF(Test!B109="",SUBSTITUTE(MID(Test!A109,FIND(",",Test!A109)+1,FIND(",",Test!A109,FIND(",",Test!A109)+1)-FIND(",",Test!A109)-1),"Cube ",""),LEFT(Test!B109,FIND(",",Test!B109)-1)))))</f>
        <v/>
      </c>
      <c r="B109" t="str">
        <f>IF(ISNUMBER(SEARCH("Query", Test!A109)), MID(Test!A109,FIND(",", Test!A109,FIND(",", Test!A109,FIND(",", Test!A109)+1)+1)+1, FIND(",", Test!A109,FIND(",", Test!A109,FIND(",", Test!A109,FIND(",", Test!A109)+1)+1)+1)-FIND(",", Test!A109,FIND(",", Test!A109,FIND(",", Test!A109)+1)+1)-1), IF(Test!B109&lt;&gt;"",MID(Test!B109,FIND(",",Test!B109)+1,FIND(",",Test!B109,FIND(",",Test!B109)+1)-FIND(",",Test!B109)-1),IF(Test!A109&lt;&gt;"",MID(Test!A109,FIND(",",Test!A109,FIND(",",Test!A109)+1)+1,FIND(",",Test!A109,FIND(",",Test!A109,FIND(",",Test!A109)+1)+1)-FIND(",",Test!A109,FIND(",",Test!A109)+1)-1),"")))</f>
        <v/>
      </c>
      <c r="C109" t="str">
        <f>IF(ISNUMBER(FIND("Query",Test!A109)),RIGHT(Test!A109,LEN(Test!A109)-FIND(",",Test!A109,FIND(",",Test!A109,FIND(",",Test!A109,FIND(",",Test!A109)+1)+1)+1)),IF(Test!B109&lt;&gt;"",RIGHT(Test!B109,LEN(Test!B109)-FIND(",",Test!B109,FIND(",",Test!B109)+1)),IF(Test!A109&lt;&gt;"",MID(Test!A109,FIND(",",Test!A109,FIND(",",Test!A109,FIND(",",Test!A109)+1)+1)+1,LEN(Test!A109)-FIND(",",Test!A109,FIND(",",Test!A109,FIND(",",Test!A109)+1)+1)),""))) &amp; IF(Test!C109&lt;&gt;"", " " &amp; SUBSTITUTE(Test!C109,"-",""), "")</f>
        <v/>
      </c>
    </row>
    <row r="110" spans="1:3" x14ac:dyDescent="0.25">
      <c r="A110" t="str">
        <f>IF(Test!A110="", "", IF(ISNUMBER(FIND("Query",Test!A110)), "AS Query ZMMIMR91 , ZGRIR_ALV", IF(LEFT(Test!A110,1)="7", "AS " &amp; Test!A110, "AS " &amp; IF(Test!B110="",SUBSTITUTE(MID(Test!A110,FIND(",",Test!A110)+1,FIND(",",Test!A110,FIND(",",Test!A110)+1)-FIND(",",Test!A110)-1),"Cube ",""),LEFT(Test!B110,FIND(",",Test!B110)-1)))))</f>
        <v/>
      </c>
      <c r="B110" t="str">
        <f>IF(ISNUMBER(SEARCH("Query", Test!A110)), MID(Test!A110,FIND(",", Test!A110,FIND(",", Test!A110,FIND(",", Test!A110)+1)+1)+1, FIND(",", Test!A110,FIND(",", Test!A110,FIND(",", Test!A110,FIND(",", Test!A110)+1)+1)+1)-FIND(",", Test!A110,FIND(",", Test!A110,FIND(",", Test!A110)+1)+1)-1), IF(Test!B110&lt;&gt;"",MID(Test!B110,FIND(",",Test!B110)+1,FIND(",",Test!B110,FIND(",",Test!B110)+1)-FIND(",",Test!B110)-1),IF(Test!A110&lt;&gt;"",MID(Test!A110,FIND(",",Test!A110,FIND(",",Test!A110)+1)+1,FIND(",",Test!A110,FIND(",",Test!A110,FIND(",",Test!A110)+1)+1)-FIND(",",Test!A110,FIND(",",Test!A110)+1)-1),"")))</f>
        <v/>
      </c>
      <c r="C110" t="str">
        <f>IF(ISNUMBER(FIND("Query",Test!A110)),RIGHT(Test!A110,LEN(Test!A110)-FIND(",",Test!A110,FIND(",",Test!A110,FIND(",",Test!A110,FIND(",",Test!A110)+1)+1)+1)),IF(Test!B110&lt;&gt;"",RIGHT(Test!B110,LEN(Test!B110)-FIND(",",Test!B110,FIND(",",Test!B110)+1)),IF(Test!A110&lt;&gt;"",MID(Test!A110,FIND(",",Test!A110,FIND(",",Test!A110,FIND(",",Test!A110)+1)+1)+1,LEN(Test!A110)-FIND(",",Test!A110,FIND(",",Test!A110,FIND(",",Test!A110)+1)+1)),""))) &amp; IF(Test!C110&lt;&gt;"", " " &amp; SUBSTITUTE(Test!C110,"-",""), "")</f>
        <v/>
      </c>
    </row>
    <row r="111" spans="1:3" x14ac:dyDescent="0.25">
      <c r="A111" t="str">
        <f>IF(Test!A111="", "", IF(ISNUMBER(FIND("Query",Test!A111)), "AS Query ZMMIMR91 , ZGRIR_ALV", IF(LEFT(Test!A111,1)="7", "AS " &amp; Test!A111, "AS " &amp; IF(Test!B111="",SUBSTITUTE(MID(Test!A111,FIND(",",Test!A111)+1,FIND(",",Test!A111,FIND(",",Test!A111)+1)-FIND(",",Test!A111)-1),"Cube ",""),LEFT(Test!B111,FIND(",",Test!B111)-1)))))</f>
        <v/>
      </c>
      <c r="B111" t="str">
        <f>IF(ISNUMBER(SEARCH("Query", Test!A111)), MID(Test!A111,FIND(",", Test!A111,FIND(",", Test!A111,FIND(",", Test!A111)+1)+1)+1, FIND(",", Test!A111,FIND(",", Test!A111,FIND(",", Test!A111,FIND(",", Test!A111)+1)+1)+1)-FIND(",", Test!A111,FIND(",", Test!A111,FIND(",", Test!A111)+1)+1)-1), IF(Test!B111&lt;&gt;"",MID(Test!B111,FIND(",",Test!B111)+1,FIND(",",Test!B111,FIND(",",Test!B111)+1)-FIND(",",Test!B111)-1),IF(Test!A111&lt;&gt;"",MID(Test!A111,FIND(",",Test!A111,FIND(",",Test!A111)+1)+1,FIND(",",Test!A111,FIND(",",Test!A111,FIND(",",Test!A111)+1)+1)-FIND(",",Test!A111,FIND(",",Test!A111)+1)-1),"")))</f>
        <v/>
      </c>
      <c r="C111" t="str">
        <f>IF(ISNUMBER(FIND("Query",Test!A111)),RIGHT(Test!A111,LEN(Test!A111)-FIND(",",Test!A111,FIND(",",Test!A111,FIND(",",Test!A111,FIND(",",Test!A111)+1)+1)+1)),IF(Test!B111&lt;&gt;"",RIGHT(Test!B111,LEN(Test!B111)-FIND(",",Test!B111,FIND(",",Test!B111)+1)),IF(Test!A111&lt;&gt;"",MID(Test!A111,FIND(",",Test!A111,FIND(",",Test!A111,FIND(",",Test!A111)+1)+1)+1,LEN(Test!A111)-FIND(",",Test!A111,FIND(",",Test!A111,FIND(",",Test!A111)+1)+1)),""))) &amp; IF(Test!C111&lt;&gt;"", " " &amp; SUBSTITUTE(Test!C111,"-",""), "")</f>
        <v/>
      </c>
    </row>
    <row r="112" spans="1:3" x14ac:dyDescent="0.25">
      <c r="A112" t="str">
        <f>IF(Test!A112="", "", IF(ISNUMBER(FIND("Query",Test!A112)), "AS Query ZMMIMR91 , ZGRIR_ALV", IF(LEFT(Test!A112,1)="7", "AS " &amp; Test!A112, "AS " &amp; IF(Test!B112="",SUBSTITUTE(MID(Test!A112,FIND(",",Test!A112)+1,FIND(",",Test!A112,FIND(",",Test!A112)+1)-FIND(",",Test!A112)-1),"Cube ",""),LEFT(Test!B112,FIND(",",Test!B112)-1)))))</f>
        <v/>
      </c>
      <c r="B112" t="str">
        <f>IF(ISNUMBER(SEARCH("Query", Test!A112)), MID(Test!A112,FIND(",", Test!A112,FIND(",", Test!A112,FIND(",", Test!A112)+1)+1)+1, FIND(",", Test!A112,FIND(",", Test!A112,FIND(",", Test!A112,FIND(",", Test!A112)+1)+1)+1)-FIND(",", Test!A112,FIND(",", Test!A112,FIND(",", Test!A112)+1)+1)-1), IF(Test!B112&lt;&gt;"",MID(Test!B112,FIND(",",Test!B112)+1,FIND(",",Test!B112,FIND(",",Test!B112)+1)-FIND(",",Test!B112)-1),IF(Test!A112&lt;&gt;"",MID(Test!A112,FIND(",",Test!A112,FIND(",",Test!A112)+1)+1,FIND(",",Test!A112,FIND(",",Test!A112,FIND(",",Test!A112)+1)+1)-FIND(",",Test!A112,FIND(",",Test!A112)+1)-1),"")))</f>
        <v/>
      </c>
      <c r="C112" t="str">
        <f>IF(ISNUMBER(FIND("Query",Test!A112)),RIGHT(Test!A112,LEN(Test!A112)-FIND(",",Test!A112,FIND(",",Test!A112,FIND(",",Test!A112,FIND(",",Test!A112)+1)+1)+1)),IF(Test!B112&lt;&gt;"",RIGHT(Test!B112,LEN(Test!B112)-FIND(",",Test!B112,FIND(",",Test!B112)+1)),IF(Test!A112&lt;&gt;"",MID(Test!A112,FIND(",",Test!A112,FIND(",",Test!A112,FIND(",",Test!A112)+1)+1)+1,LEN(Test!A112)-FIND(",",Test!A112,FIND(",",Test!A112,FIND(",",Test!A112)+1)+1)),""))) &amp; IF(Test!C112&lt;&gt;"", " " &amp; SUBSTITUTE(Test!C112,"-",""), "")</f>
        <v/>
      </c>
    </row>
    <row r="113" spans="1:3" x14ac:dyDescent="0.25">
      <c r="A113" t="str">
        <f>IF(Test!A113="", "", IF(ISNUMBER(FIND("Query",Test!A113)), "AS Query ZMMIMR91 , ZGRIR_ALV", IF(LEFT(Test!A113,1)="7", "AS " &amp; Test!A113, "AS " &amp; IF(Test!B113="",SUBSTITUTE(MID(Test!A113,FIND(",",Test!A113)+1,FIND(",",Test!A113,FIND(",",Test!A113)+1)-FIND(",",Test!A113)-1),"Cube ",""),LEFT(Test!B113,FIND(",",Test!B113)-1)))))</f>
        <v/>
      </c>
      <c r="B113" t="str">
        <f>IF(ISNUMBER(SEARCH("Query", Test!A113)), MID(Test!A113,FIND(",", Test!A113,FIND(",", Test!A113,FIND(",", Test!A113)+1)+1)+1, FIND(",", Test!A113,FIND(",", Test!A113,FIND(",", Test!A113,FIND(",", Test!A113)+1)+1)+1)-FIND(",", Test!A113,FIND(",", Test!A113,FIND(",", Test!A113)+1)+1)-1), IF(Test!B113&lt;&gt;"",MID(Test!B113,FIND(",",Test!B113)+1,FIND(",",Test!B113,FIND(",",Test!B113)+1)-FIND(",",Test!B113)-1),IF(Test!A113&lt;&gt;"",MID(Test!A113,FIND(",",Test!A113,FIND(",",Test!A113)+1)+1,FIND(",",Test!A113,FIND(",",Test!A113,FIND(",",Test!A113)+1)+1)-FIND(",",Test!A113,FIND(",",Test!A113)+1)-1),"")))</f>
        <v/>
      </c>
      <c r="C113" t="str">
        <f>IF(ISNUMBER(FIND("Query",Test!A113)),RIGHT(Test!A113,LEN(Test!A113)-FIND(",",Test!A113,FIND(",",Test!A113,FIND(",",Test!A113,FIND(",",Test!A113)+1)+1)+1)),IF(Test!B113&lt;&gt;"",RIGHT(Test!B113,LEN(Test!B113)-FIND(",",Test!B113,FIND(",",Test!B113)+1)),IF(Test!A113&lt;&gt;"",MID(Test!A113,FIND(",",Test!A113,FIND(",",Test!A113,FIND(",",Test!A113)+1)+1)+1,LEN(Test!A113)-FIND(",",Test!A113,FIND(",",Test!A113,FIND(",",Test!A113)+1)+1)),""))) &amp; IF(Test!C113&lt;&gt;"", " " &amp; SUBSTITUTE(Test!C113,"-",""), "")</f>
        <v/>
      </c>
    </row>
    <row r="114" spans="1:3" x14ac:dyDescent="0.25">
      <c r="A114" t="str">
        <f>IF(Test!A114="", "", IF(ISNUMBER(FIND("Query",Test!A114)), "AS Query ZMMIMR91 , ZGRIR_ALV", IF(LEFT(Test!A114,1)="7", "AS " &amp; Test!A114, "AS " &amp; IF(Test!B114="",SUBSTITUTE(MID(Test!A114,FIND(",",Test!A114)+1,FIND(",",Test!A114,FIND(",",Test!A114)+1)-FIND(",",Test!A114)-1),"Cube ",""),LEFT(Test!B114,FIND(",",Test!B114)-1)))))</f>
        <v/>
      </c>
      <c r="B114" t="str">
        <f>IF(ISNUMBER(SEARCH("Query", Test!A114)), MID(Test!A114,FIND(",", Test!A114,FIND(",", Test!A114,FIND(",", Test!A114)+1)+1)+1, FIND(",", Test!A114,FIND(",", Test!A114,FIND(",", Test!A114,FIND(",", Test!A114)+1)+1)+1)-FIND(",", Test!A114,FIND(",", Test!A114,FIND(",", Test!A114)+1)+1)-1), IF(Test!B114&lt;&gt;"",MID(Test!B114,FIND(",",Test!B114)+1,FIND(",",Test!B114,FIND(",",Test!B114)+1)-FIND(",",Test!B114)-1),IF(Test!A114&lt;&gt;"",MID(Test!A114,FIND(",",Test!A114,FIND(",",Test!A114)+1)+1,FIND(",",Test!A114,FIND(",",Test!A114,FIND(",",Test!A114)+1)+1)-FIND(",",Test!A114,FIND(",",Test!A114)+1)-1),"")))</f>
        <v/>
      </c>
      <c r="C114" t="str">
        <f>IF(ISNUMBER(FIND("Query",Test!A114)),RIGHT(Test!A114,LEN(Test!A114)-FIND(",",Test!A114,FIND(",",Test!A114,FIND(",",Test!A114,FIND(",",Test!A114)+1)+1)+1)),IF(Test!B114&lt;&gt;"",RIGHT(Test!B114,LEN(Test!B114)-FIND(",",Test!B114,FIND(",",Test!B114)+1)),IF(Test!A114&lt;&gt;"",MID(Test!A114,FIND(",",Test!A114,FIND(",",Test!A114,FIND(",",Test!A114)+1)+1)+1,LEN(Test!A114)-FIND(",",Test!A114,FIND(",",Test!A114,FIND(",",Test!A114)+1)+1)),""))) &amp; IF(Test!C114&lt;&gt;"", " " &amp; SUBSTITUTE(Test!C114,"-",""), "")</f>
        <v/>
      </c>
    </row>
    <row r="115" spans="1:3" x14ac:dyDescent="0.25">
      <c r="A115" t="str">
        <f>IF(Test!A115="", "", IF(ISNUMBER(FIND("Query",Test!A115)), "AS Query ZMMIMR91 , ZGRIR_ALV", IF(LEFT(Test!A115,1)="7", "AS " &amp; Test!A115, "AS " &amp; IF(Test!B115="",SUBSTITUTE(MID(Test!A115,FIND(",",Test!A115)+1,FIND(",",Test!A115,FIND(",",Test!A115)+1)-FIND(",",Test!A115)-1),"Cube ",""),LEFT(Test!B115,FIND(",",Test!B115)-1)))))</f>
        <v/>
      </c>
      <c r="B115" t="str">
        <f>IF(ISNUMBER(SEARCH("Query", Test!A115)), MID(Test!A115,FIND(",", Test!A115,FIND(",", Test!A115,FIND(",", Test!A115)+1)+1)+1, FIND(",", Test!A115,FIND(",", Test!A115,FIND(",", Test!A115,FIND(",", Test!A115)+1)+1)+1)-FIND(",", Test!A115,FIND(",", Test!A115,FIND(",", Test!A115)+1)+1)-1), IF(Test!B115&lt;&gt;"",MID(Test!B115,FIND(",",Test!B115)+1,FIND(",",Test!B115,FIND(",",Test!B115)+1)-FIND(",",Test!B115)-1),IF(Test!A115&lt;&gt;"",MID(Test!A115,FIND(",",Test!A115,FIND(",",Test!A115)+1)+1,FIND(",",Test!A115,FIND(",",Test!A115,FIND(",",Test!A115)+1)+1)-FIND(",",Test!A115,FIND(",",Test!A115)+1)-1),"")))</f>
        <v/>
      </c>
      <c r="C115" t="str">
        <f>IF(ISNUMBER(FIND("Query",Test!A115)),RIGHT(Test!A115,LEN(Test!A115)-FIND(",",Test!A115,FIND(",",Test!A115,FIND(",",Test!A115,FIND(",",Test!A115)+1)+1)+1)),IF(Test!B115&lt;&gt;"",RIGHT(Test!B115,LEN(Test!B115)-FIND(",",Test!B115,FIND(",",Test!B115)+1)),IF(Test!A115&lt;&gt;"",MID(Test!A115,FIND(",",Test!A115,FIND(",",Test!A115,FIND(",",Test!A115)+1)+1)+1,LEN(Test!A115)-FIND(",",Test!A115,FIND(",",Test!A115,FIND(",",Test!A115)+1)+1)),""))) &amp; IF(Test!C115&lt;&gt;"", " " &amp; SUBSTITUTE(Test!C115,"-",""), "")</f>
        <v/>
      </c>
    </row>
    <row r="116" spans="1:3" x14ac:dyDescent="0.25">
      <c r="A116" t="str">
        <f>IF(Test!A116="", "", IF(ISNUMBER(FIND("Query",Test!A116)), "AS Query ZMMIMR91 , ZGRIR_ALV", IF(LEFT(Test!A116,1)="7", "AS " &amp; Test!A116, "AS " &amp; IF(Test!B116="",SUBSTITUTE(MID(Test!A116,FIND(",",Test!A116)+1,FIND(",",Test!A116,FIND(",",Test!A116)+1)-FIND(",",Test!A116)-1),"Cube ",""),LEFT(Test!B116,FIND(",",Test!B116)-1)))))</f>
        <v/>
      </c>
      <c r="B116" t="str">
        <f>IF(ISNUMBER(SEARCH("Query", Test!A116)), MID(Test!A116,FIND(",", Test!A116,FIND(",", Test!A116,FIND(",", Test!A116)+1)+1)+1, FIND(",", Test!A116,FIND(",", Test!A116,FIND(",", Test!A116,FIND(",", Test!A116)+1)+1)+1)-FIND(",", Test!A116,FIND(",", Test!A116,FIND(",", Test!A116)+1)+1)-1), IF(Test!B116&lt;&gt;"",MID(Test!B116,FIND(",",Test!B116)+1,FIND(",",Test!B116,FIND(",",Test!B116)+1)-FIND(",",Test!B116)-1),IF(Test!A116&lt;&gt;"",MID(Test!A116,FIND(",",Test!A116,FIND(",",Test!A116)+1)+1,FIND(",",Test!A116,FIND(",",Test!A116,FIND(",",Test!A116)+1)+1)-FIND(",",Test!A116,FIND(",",Test!A116)+1)-1),"")))</f>
        <v/>
      </c>
      <c r="C116" t="str">
        <f>IF(ISNUMBER(FIND("Query",Test!A116)),RIGHT(Test!A116,LEN(Test!A116)-FIND(",",Test!A116,FIND(",",Test!A116,FIND(",",Test!A116,FIND(",",Test!A116)+1)+1)+1)),IF(Test!B116&lt;&gt;"",RIGHT(Test!B116,LEN(Test!B116)-FIND(",",Test!B116,FIND(",",Test!B116)+1)),IF(Test!A116&lt;&gt;"",MID(Test!A116,FIND(",",Test!A116,FIND(",",Test!A116,FIND(",",Test!A116)+1)+1)+1,LEN(Test!A116)-FIND(",",Test!A116,FIND(",",Test!A116,FIND(",",Test!A116)+1)+1)),""))) &amp; IF(Test!C116&lt;&gt;"", " " &amp; SUBSTITUTE(Test!C116,"-",""), "")</f>
        <v/>
      </c>
    </row>
    <row r="117" spans="1:3" x14ac:dyDescent="0.25">
      <c r="A117" t="str">
        <f>IF(Test!A117="", "", IF(ISNUMBER(FIND("Query",Test!A117)), "AS Query ZMMIMR91 , ZGRIR_ALV", IF(LEFT(Test!A117,1)="7", "AS " &amp; Test!A117, "AS " &amp; IF(Test!B117="",SUBSTITUTE(MID(Test!A117,FIND(",",Test!A117)+1,FIND(",",Test!A117,FIND(",",Test!A117)+1)-FIND(",",Test!A117)-1),"Cube ",""),LEFT(Test!B117,FIND(",",Test!B117)-1)))))</f>
        <v/>
      </c>
      <c r="B117" t="str">
        <f>IF(ISNUMBER(SEARCH("Query", Test!A117)), MID(Test!A117,FIND(",", Test!A117,FIND(",", Test!A117,FIND(",", Test!A117)+1)+1)+1, FIND(",", Test!A117,FIND(",", Test!A117,FIND(",", Test!A117,FIND(",", Test!A117)+1)+1)+1)-FIND(",", Test!A117,FIND(",", Test!A117,FIND(",", Test!A117)+1)+1)-1), IF(Test!B117&lt;&gt;"",MID(Test!B117,FIND(",",Test!B117)+1,FIND(",",Test!B117,FIND(",",Test!B117)+1)-FIND(",",Test!B117)-1),IF(Test!A117&lt;&gt;"",MID(Test!A117,FIND(",",Test!A117,FIND(",",Test!A117)+1)+1,FIND(",",Test!A117,FIND(",",Test!A117,FIND(",",Test!A117)+1)+1)-FIND(",",Test!A117,FIND(",",Test!A117)+1)-1),"")))</f>
        <v/>
      </c>
      <c r="C117" t="str">
        <f>IF(ISNUMBER(FIND("Query",Test!A117)),RIGHT(Test!A117,LEN(Test!A117)-FIND(",",Test!A117,FIND(",",Test!A117,FIND(",",Test!A117,FIND(",",Test!A117)+1)+1)+1)),IF(Test!B117&lt;&gt;"",RIGHT(Test!B117,LEN(Test!B117)-FIND(",",Test!B117,FIND(",",Test!B117)+1)),IF(Test!A117&lt;&gt;"",MID(Test!A117,FIND(",",Test!A117,FIND(",",Test!A117,FIND(",",Test!A117)+1)+1)+1,LEN(Test!A117)-FIND(",",Test!A117,FIND(",",Test!A117,FIND(",",Test!A117)+1)+1)),""))) &amp; IF(Test!C117&lt;&gt;"", " " &amp; SUBSTITUTE(Test!C117,"-",""), "")</f>
        <v/>
      </c>
    </row>
    <row r="118" spans="1:3" x14ac:dyDescent="0.25">
      <c r="A118" t="str">
        <f>IF(Test!A118="", "", IF(ISNUMBER(FIND("Query",Test!A118)), "AS Query ZMMIMR91 , ZGRIR_ALV", IF(LEFT(Test!A118,1)="7", "AS " &amp; Test!A118, "AS " &amp; IF(Test!B118="",SUBSTITUTE(MID(Test!A118,FIND(",",Test!A118)+1,FIND(",",Test!A118,FIND(",",Test!A118)+1)-FIND(",",Test!A118)-1),"Cube ",""),LEFT(Test!B118,FIND(",",Test!B118)-1)))))</f>
        <v/>
      </c>
      <c r="B118" t="str">
        <f>IF(ISNUMBER(SEARCH("Query", Test!A118)), MID(Test!A118,FIND(",", Test!A118,FIND(",", Test!A118,FIND(",", Test!A118)+1)+1)+1, FIND(",", Test!A118,FIND(",", Test!A118,FIND(",", Test!A118,FIND(",", Test!A118)+1)+1)+1)-FIND(",", Test!A118,FIND(",", Test!A118,FIND(",", Test!A118)+1)+1)-1), IF(Test!B118&lt;&gt;"",MID(Test!B118,FIND(",",Test!B118)+1,FIND(",",Test!B118,FIND(",",Test!B118)+1)-FIND(",",Test!B118)-1),IF(Test!A118&lt;&gt;"",MID(Test!A118,FIND(",",Test!A118,FIND(",",Test!A118)+1)+1,FIND(",",Test!A118,FIND(",",Test!A118,FIND(",",Test!A118)+1)+1)-FIND(",",Test!A118,FIND(",",Test!A118)+1)-1),"")))</f>
        <v/>
      </c>
      <c r="C118" t="str">
        <f>IF(ISNUMBER(FIND("Query",Test!A118)),RIGHT(Test!A118,LEN(Test!A118)-FIND(",",Test!A118,FIND(",",Test!A118,FIND(",",Test!A118,FIND(",",Test!A118)+1)+1)+1)),IF(Test!B118&lt;&gt;"",RIGHT(Test!B118,LEN(Test!B118)-FIND(",",Test!B118,FIND(",",Test!B118)+1)),IF(Test!A118&lt;&gt;"",MID(Test!A118,FIND(",",Test!A118,FIND(",",Test!A118,FIND(",",Test!A118)+1)+1)+1,LEN(Test!A118)-FIND(",",Test!A118,FIND(",",Test!A118,FIND(",",Test!A118)+1)+1)),""))) &amp; IF(Test!C118&lt;&gt;"", " " &amp; SUBSTITUTE(Test!C118,"-",""), "")</f>
        <v/>
      </c>
    </row>
    <row r="119" spans="1:3" x14ac:dyDescent="0.25">
      <c r="A119" t="str">
        <f>IF(Test!A119="", "", IF(ISNUMBER(FIND("Query",Test!A119)), "AS Query ZMMIMR91 , ZGRIR_ALV", IF(LEFT(Test!A119,1)="7", "AS " &amp; Test!A119, "AS " &amp; IF(Test!B119="",SUBSTITUTE(MID(Test!A119,FIND(",",Test!A119)+1,FIND(",",Test!A119,FIND(",",Test!A119)+1)-FIND(",",Test!A119)-1),"Cube ",""),LEFT(Test!B119,FIND(",",Test!B119)-1)))))</f>
        <v/>
      </c>
      <c r="B119" t="str">
        <f>IF(ISNUMBER(SEARCH("Query", Test!A119)), MID(Test!A119,FIND(",", Test!A119,FIND(",", Test!A119,FIND(",", Test!A119)+1)+1)+1, FIND(",", Test!A119,FIND(",", Test!A119,FIND(",", Test!A119,FIND(",", Test!A119)+1)+1)+1)-FIND(",", Test!A119,FIND(",", Test!A119,FIND(",", Test!A119)+1)+1)-1), IF(Test!B119&lt;&gt;"",MID(Test!B119,FIND(",",Test!B119)+1,FIND(",",Test!B119,FIND(",",Test!B119)+1)-FIND(",",Test!B119)-1),IF(Test!A119&lt;&gt;"",MID(Test!A119,FIND(",",Test!A119,FIND(",",Test!A119)+1)+1,FIND(",",Test!A119,FIND(",",Test!A119,FIND(",",Test!A119)+1)+1)-FIND(",",Test!A119,FIND(",",Test!A119)+1)-1),"")))</f>
        <v/>
      </c>
      <c r="C119" t="str">
        <f>IF(ISNUMBER(FIND("Query",Test!A119)),RIGHT(Test!A119,LEN(Test!A119)-FIND(",",Test!A119,FIND(",",Test!A119,FIND(",",Test!A119,FIND(",",Test!A119)+1)+1)+1)),IF(Test!B119&lt;&gt;"",RIGHT(Test!B119,LEN(Test!B119)-FIND(",",Test!B119,FIND(",",Test!B119)+1)),IF(Test!A119&lt;&gt;"",MID(Test!A119,FIND(",",Test!A119,FIND(",",Test!A119,FIND(",",Test!A119)+1)+1)+1,LEN(Test!A119)-FIND(",",Test!A119,FIND(",",Test!A119,FIND(",",Test!A119)+1)+1)),""))) &amp; IF(Test!C119&lt;&gt;"", " " &amp; SUBSTITUTE(Test!C119,"-",""), "")</f>
        <v/>
      </c>
    </row>
    <row r="120" spans="1:3" x14ac:dyDescent="0.25">
      <c r="A120" t="str">
        <f>IF(Test!A120="", "", IF(ISNUMBER(FIND("Query",Test!A120)), "AS Query ZMMIMR91 , ZGRIR_ALV", IF(LEFT(Test!A120,1)="7", "AS " &amp; Test!A120, "AS " &amp; IF(Test!B120="",SUBSTITUTE(MID(Test!A120,FIND(",",Test!A120)+1,FIND(",",Test!A120,FIND(",",Test!A120)+1)-FIND(",",Test!A120)-1),"Cube ",""),LEFT(Test!B120,FIND(",",Test!B120)-1)))))</f>
        <v/>
      </c>
      <c r="B120" t="str">
        <f>IF(ISNUMBER(SEARCH("Query", Test!A120)), MID(Test!A120,FIND(",", Test!A120,FIND(",", Test!A120,FIND(",", Test!A120)+1)+1)+1, FIND(",", Test!A120,FIND(",", Test!A120,FIND(",", Test!A120,FIND(",", Test!A120)+1)+1)+1)-FIND(",", Test!A120,FIND(",", Test!A120,FIND(",", Test!A120)+1)+1)-1), IF(Test!B120&lt;&gt;"",MID(Test!B120,FIND(",",Test!B120)+1,FIND(",",Test!B120,FIND(",",Test!B120)+1)-FIND(",",Test!B120)-1),IF(Test!A120&lt;&gt;"",MID(Test!A120,FIND(",",Test!A120,FIND(",",Test!A120)+1)+1,FIND(",",Test!A120,FIND(",",Test!A120,FIND(",",Test!A120)+1)+1)-FIND(",",Test!A120,FIND(",",Test!A120)+1)-1),"")))</f>
        <v/>
      </c>
      <c r="C120" t="str">
        <f>IF(ISNUMBER(FIND("Query",Test!A120)),RIGHT(Test!A120,LEN(Test!A120)-FIND(",",Test!A120,FIND(",",Test!A120,FIND(",",Test!A120,FIND(",",Test!A120)+1)+1)+1)),IF(Test!B120&lt;&gt;"",RIGHT(Test!B120,LEN(Test!B120)-FIND(",",Test!B120,FIND(",",Test!B120)+1)),IF(Test!A120&lt;&gt;"",MID(Test!A120,FIND(",",Test!A120,FIND(",",Test!A120,FIND(",",Test!A120)+1)+1)+1,LEN(Test!A120)-FIND(",",Test!A120,FIND(",",Test!A120,FIND(",",Test!A120)+1)+1)),""))) &amp; IF(Test!C120&lt;&gt;"", " " &amp; SUBSTITUTE(Test!C120,"-",""), "")</f>
        <v/>
      </c>
    </row>
    <row r="121" spans="1:3" x14ac:dyDescent="0.25">
      <c r="A121" t="str">
        <f>IF(Test!A121="", "", IF(ISNUMBER(FIND("Query",Test!A121)), "AS Query ZMMIMR91 , ZGRIR_ALV", IF(LEFT(Test!A121,1)="7", "AS " &amp; Test!A121, "AS " &amp; IF(Test!B121="",SUBSTITUTE(MID(Test!A121,FIND(",",Test!A121)+1,FIND(",",Test!A121,FIND(",",Test!A121)+1)-FIND(",",Test!A121)-1),"Cube ",""),LEFT(Test!B121,FIND(",",Test!B121)-1)))))</f>
        <v/>
      </c>
      <c r="B121" t="str">
        <f>IF(ISNUMBER(SEARCH("Query", Test!A121)), MID(Test!A121,FIND(",", Test!A121,FIND(",", Test!A121,FIND(",", Test!A121)+1)+1)+1, FIND(",", Test!A121,FIND(",", Test!A121,FIND(",", Test!A121,FIND(",", Test!A121)+1)+1)+1)-FIND(",", Test!A121,FIND(",", Test!A121,FIND(",", Test!A121)+1)+1)-1), IF(Test!B121&lt;&gt;"",MID(Test!B121,FIND(",",Test!B121)+1,FIND(",",Test!B121,FIND(",",Test!B121)+1)-FIND(",",Test!B121)-1),IF(Test!A121&lt;&gt;"",MID(Test!A121,FIND(",",Test!A121,FIND(",",Test!A121)+1)+1,FIND(",",Test!A121,FIND(",",Test!A121,FIND(",",Test!A121)+1)+1)-FIND(",",Test!A121,FIND(",",Test!A121)+1)-1),"")))</f>
        <v/>
      </c>
      <c r="C121" t="str">
        <f>IF(ISNUMBER(FIND("Query",Test!A121)),RIGHT(Test!A121,LEN(Test!A121)-FIND(",",Test!A121,FIND(",",Test!A121,FIND(",",Test!A121,FIND(",",Test!A121)+1)+1)+1)),IF(Test!B121&lt;&gt;"",RIGHT(Test!B121,LEN(Test!B121)-FIND(",",Test!B121,FIND(",",Test!B121)+1)),IF(Test!A121&lt;&gt;"",MID(Test!A121,FIND(",",Test!A121,FIND(",",Test!A121,FIND(",",Test!A121)+1)+1)+1,LEN(Test!A121)-FIND(",",Test!A121,FIND(",",Test!A121,FIND(",",Test!A121)+1)+1)),""))) &amp; IF(Test!C121&lt;&gt;"", " " &amp; SUBSTITUTE(Test!C121,"-",""), "")</f>
        <v/>
      </c>
    </row>
    <row r="122" spans="1:3" x14ac:dyDescent="0.25">
      <c r="A122" t="str">
        <f>IF(Test!A122="", "", IF(ISNUMBER(FIND("Query",Test!A122)), "AS Query ZMMIMR91 , ZGRIR_ALV", IF(LEFT(Test!A122,1)="7", "AS " &amp; Test!A122, "AS " &amp; IF(Test!B122="",SUBSTITUTE(MID(Test!A122,FIND(",",Test!A122)+1,FIND(",",Test!A122,FIND(",",Test!A122)+1)-FIND(",",Test!A122)-1),"Cube ",""),LEFT(Test!B122,FIND(",",Test!B122)-1)))))</f>
        <v/>
      </c>
      <c r="B122" t="str">
        <f>IF(ISNUMBER(SEARCH("Query", Test!A122)), MID(Test!A122,FIND(",", Test!A122,FIND(",", Test!A122,FIND(",", Test!A122)+1)+1)+1, FIND(",", Test!A122,FIND(",", Test!A122,FIND(",", Test!A122,FIND(",", Test!A122)+1)+1)+1)-FIND(",", Test!A122,FIND(",", Test!A122,FIND(",", Test!A122)+1)+1)-1), IF(Test!B122&lt;&gt;"",MID(Test!B122,FIND(",",Test!B122)+1,FIND(",",Test!B122,FIND(",",Test!B122)+1)-FIND(",",Test!B122)-1),IF(Test!A122&lt;&gt;"",MID(Test!A122,FIND(",",Test!A122,FIND(",",Test!A122)+1)+1,FIND(",",Test!A122,FIND(",",Test!A122,FIND(",",Test!A122)+1)+1)-FIND(",",Test!A122,FIND(",",Test!A122)+1)-1),"")))</f>
        <v/>
      </c>
      <c r="C122" t="str">
        <f>IF(ISNUMBER(FIND("Query",Test!A122)),RIGHT(Test!A122,LEN(Test!A122)-FIND(",",Test!A122,FIND(",",Test!A122,FIND(",",Test!A122,FIND(",",Test!A122)+1)+1)+1)),IF(Test!B122&lt;&gt;"",RIGHT(Test!B122,LEN(Test!B122)-FIND(",",Test!B122,FIND(",",Test!B122)+1)),IF(Test!A122&lt;&gt;"",MID(Test!A122,FIND(",",Test!A122,FIND(",",Test!A122,FIND(",",Test!A122)+1)+1)+1,LEN(Test!A122)-FIND(",",Test!A122,FIND(",",Test!A122,FIND(",",Test!A122)+1)+1)),""))) &amp; IF(Test!C122&lt;&gt;"", " " &amp; SUBSTITUTE(Test!C122,"-",""), "")</f>
        <v/>
      </c>
    </row>
    <row r="123" spans="1:3" x14ac:dyDescent="0.25">
      <c r="A123" t="str">
        <f>IF(Test!A123="", "", IF(ISNUMBER(FIND("Query",Test!A123)), "AS Query ZMMIMR91 , ZGRIR_ALV", IF(LEFT(Test!A123,1)="7", "AS " &amp; Test!A123, "AS " &amp; IF(Test!B123="",SUBSTITUTE(MID(Test!A123,FIND(",",Test!A123)+1,FIND(",",Test!A123,FIND(",",Test!A123)+1)-FIND(",",Test!A123)-1),"Cube ",""),LEFT(Test!B123,FIND(",",Test!B123)-1)))))</f>
        <v/>
      </c>
      <c r="B123" t="str">
        <f>IF(ISNUMBER(SEARCH("Query", Test!A123)), MID(Test!A123,FIND(",", Test!A123,FIND(",", Test!A123,FIND(",", Test!A123)+1)+1)+1, FIND(",", Test!A123,FIND(",", Test!A123,FIND(",", Test!A123,FIND(",", Test!A123)+1)+1)+1)-FIND(",", Test!A123,FIND(",", Test!A123,FIND(",", Test!A123)+1)+1)-1), IF(Test!B123&lt;&gt;"",MID(Test!B123,FIND(",",Test!B123)+1,FIND(",",Test!B123,FIND(",",Test!B123)+1)-FIND(",",Test!B123)-1),IF(Test!A123&lt;&gt;"",MID(Test!A123,FIND(",",Test!A123,FIND(",",Test!A123)+1)+1,FIND(",",Test!A123,FIND(",",Test!A123,FIND(",",Test!A123)+1)+1)-FIND(",",Test!A123,FIND(",",Test!A123)+1)-1),"")))</f>
        <v/>
      </c>
      <c r="C123" t="str">
        <f>IF(ISNUMBER(FIND("Query",Test!A123)),RIGHT(Test!A123,LEN(Test!A123)-FIND(",",Test!A123,FIND(",",Test!A123,FIND(",",Test!A123,FIND(",",Test!A123)+1)+1)+1)),IF(Test!B123&lt;&gt;"",RIGHT(Test!B123,LEN(Test!B123)-FIND(",",Test!B123,FIND(",",Test!B123)+1)),IF(Test!A123&lt;&gt;"",MID(Test!A123,FIND(",",Test!A123,FIND(",",Test!A123,FIND(",",Test!A123)+1)+1)+1,LEN(Test!A123)-FIND(",",Test!A123,FIND(",",Test!A123,FIND(",",Test!A123)+1)+1)),""))) &amp; IF(Test!C123&lt;&gt;"", " " &amp; SUBSTITUTE(Test!C123,"-",""), "")</f>
        <v/>
      </c>
    </row>
    <row r="124" spans="1:3" x14ac:dyDescent="0.25">
      <c r="A124" t="str">
        <f>IF(Test!A124="", "", IF(ISNUMBER(FIND("Query",Test!A124)), "AS Query ZMMIMR91 , ZGRIR_ALV", IF(LEFT(Test!A124,1)="7", "AS " &amp; Test!A124, "AS " &amp; IF(Test!B124="",SUBSTITUTE(MID(Test!A124,FIND(",",Test!A124)+1,FIND(",",Test!A124,FIND(",",Test!A124)+1)-FIND(",",Test!A124)-1),"Cube ",""),LEFT(Test!B124,FIND(",",Test!B124)-1)))))</f>
        <v/>
      </c>
      <c r="B124" t="str">
        <f>IF(ISNUMBER(SEARCH("Query", Test!A124)), MID(Test!A124,FIND(",", Test!A124,FIND(",", Test!A124,FIND(",", Test!A124)+1)+1)+1, FIND(",", Test!A124,FIND(",", Test!A124,FIND(",", Test!A124,FIND(",", Test!A124)+1)+1)+1)-FIND(",", Test!A124,FIND(",", Test!A124,FIND(",", Test!A124)+1)+1)-1), IF(Test!B124&lt;&gt;"",MID(Test!B124,FIND(",",Test!B124)+1,FIND(",",Test!B124,FIND(",",Test!B124)+1)-FIND(",",Test!B124)-1),IF(Test!A124&lt;&gt;"",MID(Test!A124,FIND(",",Test!A124,FIND(",",Test!A124)+1)+1,FIND(",",Test!A124,FIND(",",Test!A124,FIND(",",Test!A124)+1)+1)-FIND(",",Test!A124,FIND(",",Test!A124)+1)-1),"")))</f>
        <v/>
      </c>
      <c r="C124" t="str">
        <f>IF(ISNUMBER(FIND("Query",Test!A124)),RIGHT(Test!A124,LEN(Test!A124)-FIND(",",Test!A124,FIND(",",Test!A124,FIND(",",Test!A124,FIND(",",Test!A124)+1)+1)+1)),IF(Test!B124&lt;&gt;"",RIGHT(Test!B124,LEN(Test!B124)-FIND(",",Test!B124,FIND(",",Test!B124)+1)),IF(Test!A124&lt;&gt;"",MID(Test!A124,FIND(",",Test!A124,FIND(",",Test!A124,FIND(",",Test!A124)+1)+1)+1,LEN(Test!A124)-FIND(",",Test!A124,FIND(",",Test!A124,FIND(",",Test!A124)+1)+1)),""))) &amp; IF(Test!C124&lt;&gt;"", " " &amp; SUBSTITUTE(Test!C124,"-",""), "")</f>
        <v/>
      </c>
    </row>
    <row r="125" spans="1:3" x14ac:dyDescent="0.25">
      <c r="A125" t="str">
        <f>IF(Test!A125="", "", IF(ISNUMBER(FIND("Query",Test!A125)), "AS Query ZMMIMR91 , ZGRIR_ALV", IF(LEFT(Test!A125,1)="7", "AS " &amp; Test!A125, "AS " &amp; IF(Test!B125="",SUBSTITUTE(MID(Test!A125,FIND(",",Test!A125)+1,FIND(",",Test!A125,FIND(",",Test!A125)+1)-FIND(",",Test!A125)-1),"Cube ",""),LEFT(Test!B125,FIND(",",Test!B125)-1)))))</f>
        <v/>
      </c>
      <c r="B125" t="str">
        <f>IF(ISNUMBER(SEARCH("Query", Test!A125)), MID(Test!A125,FIND(",", Test!A125,FIND(",", Test!A125,FIND(",", Test!A125)+1)+1)+1, FIND(",", Test!A125,FIND(",", Test!A125,FIND(",", Test!A125,FIND(",", Test!A125)+1)+1)+1)-FIND(",", Test!A125,FIND(",", Test!A125,FIND(",", Test!A125)+1)+1)-1), IF(Test!B125&lt;&gt;"",MID(Test!B125,FIND(",",Test!B125)+1,FIND(",",Test!B125,FIND(",",Test!B125)+1)-FIND(",",Test!B125)-1),IF(Test!A125&lt;&gt;"",MID(Test!A125,FIND(",",Test!A125,FIND(",",Test!A125)+1)+1,FIND(",",Test!A125,FIND(",",Test!A125,FIND(",",Test!A125)+1)+1)-FIND(",",Test!A125,FIND(",",Test!A125)+1)-1),"")))</f>
        <v/>
      </c>
      <c r="C125" t="str">
        <f>IF(ISNUMBER(FIND("Query",Test!A125)),RIGHT(Test!A125,LEN(Test!A125)-FIND(",",Test!A125,FIND(",",Test!A125,FIND(",",Test!A125,FIND(",",Test!A125)+1)+1)+1)),IF(Test!B125&lt;&gt;"",RIGHT(Test!B125,LEN(Test!B125)-FIND(",",Test!B125,FIND(",",Test!B125)+1)),IF(Test!A125&lt;&gt;"",MID(Test!A125,FIND(",",Test!A125,FIND(",",Test!A125,FIND(",",Test!A125)+1)+1)+1,LEN(Test!A125)-FIND(",",Test!A125,FIND(",",Test!A125,FIND(",",Test!A125)+1)+1)),""))) &amp; IF(Test!C125&lt;&gt;"", " " &amp; SUBSTITUTE(Test!C125,"-",""), "")</f>
        <v/>
      </c>
    </row>
    <row r="126" spans="1:3" x14ac:dyDescent="0.25">
      <c r="A126" t="str">
        <f>IF(Test!A126="", "", IF(ISNUMBER(FIND("Query",Test!A126)), "AS Query ZMMIMR91 , ZGRIR_ALV", IF(LEFT(Test!A126,1)="7", "AS " &amp; Test!A126, "AS " &amp; IF(Test!B126="",SUBSTITUTE(MID(Test!A126,FIND(",",Test!A126)+1,FIND(",",Test!A126,FIND(",",Test!A126)+1)-FIND(",",Test!A126)-1),"Cube ",""),LEFT(Test!B126,FIND(",",Test!B126)-1)))))</f>
        <v/>
      </c>
      <c r="B126" t="str">
        <f>IF(ISNUMBER(SEARCH("Query", Test!A126)), MID(Test!A126,FIND(",", Test!A126,FIND(",", Test!A126,FIND(",", Test!A126)+1)+1)+1, FIND(",", Test!A126,FIND(",", Test!A126,FIND(",", Test!A126,FIND(",", Test!A126)+1)+1)+1)-FIND(",", Test!A126,FIND(",", Test!A126,FIND(",", Test!A126)+1)+1)-1), IF(Test!B126&lt;&gt;"",MID(Test!B126,FIND(",",Test!B126)+1,FIND(",",Test!B126,FIND(",",Test!B126)+1)-FIND(",",Test!B126)-1),IF(Test!A126&lt;&gt;"",MID(Test!A126,FIND(",",Test!A126,FIND(",",Test!A126)+1)+1,FIND(",",Test!A126,FIND(",",Test!A126,FIND(",",Test!A126)+1)+1)-FIND(",",Test!A126,FIND(",",Test!A126)+1)-1),"")))</f>
        <v/>
      </c>
      <c r="C126" t="str">
        <f>IF(ISNUMBER(FIND("Query",Test!A126)),RIGHT(Test!A126,LEN(Test!A126)-FIND(",",Test!A126,FIND(",",Test!A126,FIND(",",Test!A126,FIND(",",Test!A126)+1)+1)+1)),IF(Test!B126&lt;&gt;"",RIGHT(Test!B126,LEN(Test!B126)-FIND(",",Test!B126,FIND(",",Test!B126)+1)),IF(Test!A126&lt;&gt;"",MID(Test!A126,FIND(",",Test!A126,FIND(",",Test!A126,FIND(",",Test!A126)+1)+1)+1,LEN(Test!A126)-FIND(",",Test!A126,FIND(",",Test!A126,FIND(",",Test!A126)+1)+1)),""))) &amp; IF(Test!C126&lt;&gt;"", " " &amp; SUBSTITUTE(Test!C126,"-",""), "")</f>
        <v/>
      </c>
    </row>
    <row r="127" spans="1:3" x14ac:dyDescent="0.25">
      <c r="A127" t="str">
        <f>IF(Test!A127="", "", IF(ISNUMBER(FIND("Query",Test!A127)), "AS Query ZMMIMR91 , ZGRIR_ALV", IF(LEFT(Test!A127,1)="7", "AS " &amp; Test!A127, "AS " &amp; IF(Test!B127="",SUBSTITUTE(MID(Test!A127,FIND(",",Test!A127)+1,FIND(",",Test!A127,FIND(",",Test!A127)+1)-FIND(",",Test!A127)-1),"Cube ",""),LEFT(Test!B127,FIND(",",Test!B127)-1)))))</f>
        <v/>
      </c>
      <c r="B127" t="str">
        <f>IF(ISNUMBER(SEARCH("Query", Test!A127)), MID(Test!A127,FIND(",", Test!A127,FIND(",", Test!A127,FIND(",", Test!A127)+1)+1)+1, FIND(",", Test!A127,FIND(",", Test!A127,FIND(",", Test!A127,FIND(",", Test!A127)+1)+1)+1)-FIND(",", Test!A127,FIND(",", Test!A127,FIND(",", Test!A127)+1)+1)-1), IF(Test!B127&lt;&gt;"",MID(Test!B127,FIND(",",Test!B127)+1,FIND(",",Test!B127,FIND(",",Test!B127)+1)-FIND(",",Test!B127)-1),IF(Test!A127&lt;&gt;"",MID(Test!A127,FIND(",",Test!A127,FIND(",",Test!A127)+1)+1,FIND(",",Test!A127,FIND(",",Test!A127,FIND(",",Test!A127)+1)+1)-FIND(",",Test!A127,FIND(",",Test!A127)+1)-1),"")))</f>
        <v/>
      </c>
      <c r="C127" t="str">
        <f>IF(ISNUMBER(FIND("Query",Test!A127)),RIGHT(Test!A127,LEN(Test!A127)-FIND(",",Test!A127,FIND(",",Test!A127,FIND(",",Test!A127,FIND(",",Test!A127)+1)+1)+1)),IF(Test!B127&lt;&gt;"",RIGHT(Test!B127,LEN(Test!B127)-FIND(",",Test!B127,FIND(",",Test!B127)+1)),IF(Test!A127&lt;&gt;"",MID(Test!A127,FIND(",",Test!A127,FIND(",",Test!A127,FIND(",",Test!A127)+1)+1)+1,LEN(Test!A127)-FIND(",",Test!A127,FIND(",",Test!A127,FIND(",",Test!A127)+1)+1)),""))) &amp; IF(Test!C127&lt;&gt;"", " " &amp; SUBSTITUTE(Test!C127,"-",""), "")</f>
        <v/>
      </c>
    </row>
    <row r="128" spans="1:3" x14ac:dyDescent="0.25">
      <c r="A128" t="str">
        <f>IF(Test!A128="", "", IF(ISNUMBER(FIND("Query",Test!A128)), "AS Query ZMMIMR91 , ZGRIR_ALV", IF(LEFT(Test!A128,1)="7", "AS " &amp; Test!A128, "AS " &amp; IF(Test!B128="",SUBSTITUTE(MID(Test!A128,FIND(",",Test!A128)+1,FIND(",",Test!A128,FIND(",",Test!A128)+1)-FIND(",",Test!A128)-1),"Cube ",""),LEFT(Test!B128,FIND(",",Test!B128)-1)))))</f>
        <v/>
      </c>
      <c r="B128" t="str">
        <f>IF(ISNUMBER(SEARCH("Query", Test!A128)), MID(Test!A128,FIND(",", Test!A128,FIND(",", Test!A128,FIND(",", Test!A128)+1)+1)+1, FIND(",", Test!A128,FIND(",", Test!A128,FIND(",", Test!A128,FIND(",", Test!A128)+1)+1)+1)-FIND(",", Test!A128,FIND(",", Test!A128,FIND(",", Test!A128)+1)+1)-1), IF(Test!B128&lt;&gt;"",MID(Test!B128,FIND(",",Test!B128)+1,FIND(",",Test!B128,FIND(",",Test!B128)+1)-FIND(",",Test!B128)-1),IF(Test!A128&lt;&gt;"",MID(Test!A128,FIND(",",Test!A128,FIND(",",Test!A128)+1)+1,FIND(",",Test!A128,FIND(",",Test!A128,FIND(",",Test!A128)+1)+1)-FIND(",",Test!A128,FIND(",",Test!A128)+1)-1),"")))</f>
        <v/>
      </c>
      <c r="C128" t="str">
        <f>IF(ISNUMBER(FIND("Query",Test!A128)),RIGHT(Test!A128,LEN(Test!A128)-FIND(",",Test!A128,FIND(",",Test!A128,FIND(",",Test!A128,FIND(",",Test!A128)+1)+1)+1)),IF(Test!B128&lt;&gt;"",RIGHT(Test!B128,LEN(Test!B128)-FIND(",",Test!B128,FIND(",",Test!B128)+1)),IF(Test!A128&lt;&gt;"",MID(Test!A128,FIND(",",Test!A128,FIND(",",Test!A128,FIND(",",Test!A128)+1)+1)+1,LEN(Test!A128)-FIND(",",Test!A128,FIND(",",Test!A128,FIND(",",Test!A128)+1)+1)),""))) &amp; IF(Test!C128&lt;&gt;"", " " &amp; SUBSTITUTE(Test!C128,"-",""), "")</f>
        <v/>
      </c>
    </row>
    <row r="129" spans="1:3" x14ac:dyDescent="0.25">
      <c r="A129" t="str">
        <f>IF(Test!A129="", "", IF(ISNUMBER(FIND("Query",Test!A129)), "AS Query ZMMIMR91 , ZGRIR_ALV", IF(LEFT(Test!A129,1)="7", "AS " &amp; Test!A129, "AS " &amp; IF(Test!B129="",SUBSTITUTE(MID(Test!A129,FIND(",",Test!A129)+1,FIND(",",Test!A129,FIND(",",Test!A129)+1)-FIND(",",Test!A129)-1),"Cube ",""),LEFT(Test!B129,FIND(",",Test!B129)-1)))))</f>
        <v/>
      </c>
      <c r="B129" t="str">
        <f>IF(ISNUMBER(SEARCH("Query", Test!A129)), MID(Test!A129,FIND(",", Test!A129,FIND(",", Test!A129,FIND(",", Test!A129)+1)+1)+1, FIND(",", Test!A129,FIND(",", Test!A129,FIND(",", Test!A129,FIND(",", Test!A129)+1)+1)+1)-FIND(",", Test!A129,FIND(",", Test!A129,FIND(",", Test!A129)+1)+1)-1), IF(Test!B129&lt;&gt;"",MID(Test!B129,FIND(",",Test!B129)+1,FIND(",",Test!B129,FIND(",",Test!B129)+1)-FIND(",",Test!B129)-1),IF(Test!A129&lt;&gt;"",MID(Test!A129,FIND(",",Test!A129,FIND(",",Test!A129)+1)+1,FIND(",",Test!A129,FIND(",",Test!A129,FIND(",",Test!A129)+1)+1)-FIND(",",Test!A129,FIND(",",Test!A129)+1)-1),"")))</f>
        <v/>
      </c>
      <c r="C129" t="str">
        <f>IF(ISNUMBER(FIND("Query",Test!A129)),RIGHT(Test!A129,LEN(Test!A129)-FIND(",",Test!A129,FIND(",",Test!A129,FIND(",",Test!A129,FIND(",",Test!A129)+1)+1)+1)),IF(Test!B129&lt;&gt;"",RIGHT(Test!B129,LEN(Test!B129)-FIND(",",Test!B129,FIND(",",Test!B129)+1)),IF(Test!A129&lt;&gt;"",MID(Test!A129,FIND(",",Test!A129,FIND(",",Test!A129,FIND(",",Test!A129)+1)+1)+1,LEN(Test!A129)-FIND(",",Test!A129,FIND(",",Test!A129,FIND(",",Test!A129)+1)+1)),""))) &amp; IF(Test!C129&lt;&gt;"", " " &amp; SUBSTITUTE(Test!C129,"-",""), "")</f>
        <v/>
      </c>
    </row>
    <row r="130" spans="1:3" x14ac:dyDescent="0.25">
      <c r="A130" t="str">
        <f>IF(Test!A130="", "", IF(ISNUMBER(FIND("Query",Test!A130)), "AS Query ZMMIMR91 , ZGRIR_ALV", IF(LEFT(Test!A130,1)="7", "AS " &amp; Test!A130, "AS " &amp; IF(Test!B130="",SUBSTITUTE(MID(Test!A130,FIND(",",Test!A130)+1,FIND(",",Test!A130,FIND(",",Test!A130)+1)-FIND(",",Test!A130)-1),"Cube ",""),LEFT(Test!B130,FIND(",",Test!B130)-1)))))</f>
        <v/>
      </c>
      <c r="B130" t="str">
        <f>IF(ISNUMBER(SEARCH("Query", Test!A130)), MID(Test!A130,FIND(",", Test!A130,FIND(",", Test!A130,FIND(",", Test!A130)+1)+1)+1, FIND(",", Test!A130,FIND(",", Test!A130,FIND(",", Test!A130,FIND(",", Test!A130)+1)+1)+1)-FIND(",", Test!A130,FIND(",", Test!A130,FIND(",", Test!A130)+1)+1)-1), IF(Test!B130&lt;&gt;"",MID(Test!B130,FIND(",",Test!B130)+1,FIND(",",Test!B130,FIND(",",Test!B130)+1)-FIND(",",Test!B130)-1),IF(Test!A130&lt;&gt;"",MID(Test!A130,FIND(",",Test!A130,FIND(",",Test!A130)+1)+1,FIND(",",Test!A130,FIND(",",Test!A130,FIND(",",Test!A130)+1)+1)-FIND(",",Test!A130,FIND(",",Test!A130)+1)-1),"")))</f>
        <v/>
      </c>
      <c r="C130" t="str">
        <f>IF(ISNUMBER(FIND("Query",Test!A130)),RIGHT(Test!A130,LEN(Test!A130)-FIND(",",Test!A130,FIND(",",Test!A130,FIND(",",Test!A130,FIND(",",Test!A130)+1)+1)+1)),IF(Test!B130&lt;&gt;"",RIGHT(Test!B130,LEN(Test!B130)-FIND(",",Test!B130,FIND(",",Test!B130)+1)),IF(Test!A130&lt;&gt;"",MID(Test!A130,FIND(",",Test!A130,FIND(",",Test!A130,FIND(",",Test!A130)+1)+1)+1,LEN(Test!A130)-FIND(",",Test!A130,FIND(",",Test!A130,FIND(",",Test!A130)+1)+1)),""))) &amp; IF(Test!C130&lt;&gt;"", " " &amp; SUBSTITUTE(Test!C130,"-",""), "")</f>
        <v/>
      </c>
    </row>
    <row r="131" spans="1:3" x14ac:dyDescent="0.25">
      <c r="A131" t="str">
        <f>IF(Test!A131="", "", IF(ISNUMBER(FIND("Query",Test!A131)), "AS Query ZMMIMR91 , ZGRIR_ALV", IF(LEFT(Test!A131,1)="7", "AS " &amp; Test!A131, "AS " &amp; IF(Test!B131="",SUBSTITUTE(MID(Test!A131,FIND(",",Test!A131)+1,FIND(",",Test!A131,FIND(",",Test!A131)+1)-FIND(",",Test!A131)-1),"Cube ",""),LEFT(Test!B131,FIND(",",Test!B131)-1)))))</f>
        <v/>
      </c>
      <c r="B131" t="str">
        <f>IF(ISNUMBER(SEARCH("Query", Test!A131)), MID(Test!A131,FIND(",", Test!A131,FIND(",", Test!A131,FIND(",", Test!A131)+1)+1)+1, FIND(",", Test!A131,FIND(",", Test!A131,FIND(",", Test!A131,FIND(",", Test!A131)+1)+1)+1)-FIND(",", Test!A131,FIND(",", Test!A131,FIND(",", Test!A131)+1)+1)-1), IF(Test!B131&lt;&gt;"",MID(Test!B131,FIND(",",Test!B131)+1,FIND(",",Test!B131,FIND(",",Test!B131)+1)-FIND(",",Test!B131)-1),IF(Test!A131&lt;&gt;"",MID(Test!A131,FIND(",",Test!A131,FIND(",",Test!A131)+1)+1,FIND(",",Test!A131,FIND(",",Test!A131,FIND(",",Test!A131)+1)+1)-FIND(",",Test!A131,FIND(",",Test!A131)+1)-1),"")))</f>
        <v/>
      </c>
      <c r="C131" t="str">
        <f>IF(ISNUMBER(FIND("Query",Test!A131)),RIGHT(Test!A131,LEN(Test!A131)-FIND(",",Test!A131,FIND(",",Test!A131,FIND(",",Test!A131,FIND(",",Test!A131)+1)+1)+1)),IF(Test!B131&lt;&gt;"",RIGHT(Test!B131,LEN(Test!B131)-FIND(",",Test!B131,FIND(",",Test!B131)+1)),IF(Test!A131&lt;&gt;"",MID(Test!A131,FIND(",",Test!A131,FIND(",",Test!A131,FIND(",",Test!A131)+1)+1)+1,LEN(Test!A131)-FIND(",",Test!A131,FIND(",",Test!A131,FIND(",",Test!A131)+1)+1)),""))) &amp; IF(Test!C131&lt;&gt;"", " " &amp; SUBSTITUTE(Test!C131,"-",""), "")</f>
        <v/>
      </c>
    </row>
    <row r="132" spans="1:3" x14ac:dyDescent="0.25">
      <c r="A132" t="str">
        <f>IF(Test!A132="", "", IF(ISNUMBER(FIND("Query",Test!A132)), "AS Query ZMMIMR91 , ZGRIR_ALV", IF(LEFT(Test!A132,1)="7", "AS " &amp; Test!A132, "AS " &amp; IF(Test!B132="",SUBSTITUTE(MID(Test!A132,FIND(",",Test!A132)+1,FIND(",",Test!A132,FIND(",",Test!A132)+1)-FIND(",",Test!A132)-1),"Cube ",""),LEFT(Test!B132,FIND(",",Test!B132)-1)))))</f>
        <v/>
      </c>
      <c r="B132" t="str">
        <f>IF(ISNUMBER(SEARCH("Query", Test!A132)), MID(Test!A132,FIND(",", Test!A132,FIND(",", Test!A132,FIND(",", Test!A132)+1)+1)+1, FIND(",", Test!A132,FIND(",", Test!A132,FIND(",", Test!A132,FIND(",", Test!A132)+1)+1)+1)-FIND(",", Test!A132,FIND(",", Test!A132,FIND(",", Test!A132)+1)+1)-1), IF(Test!B132&lt;&gt;"",MID(Test!B132,FIND(",",Test!B132)+1,FIND(",",Test!B132,FIND(",",Test!B132)+1)-FIND(",",Test!B132)-1),IF(Test!A132&lt;&gt;"",MID(Test!A132,FIND(",",Test!A132,FIND(",",Test!A132)+1)+1,FIND(",",Test!A132,FIND(",",Test!A132,FIND(",",Test!A132)+1)+1)-FIND(",",Test!A132,FIND(",",Test!A132)+1)-1),"")))</f>
        <v/>
      </c>
      <c r="C132" t="str">
        <f>IF(ISNUMBER(FIND("Query",Test!A132)),RIGHT(Test!A132,LEN(Test!A132)-FIND(",",Test!A132,FIND(",",Test!A132,FIND(",",Test!A132,FIND(",",Test!A132)+1)+1)+1)),IF(Test!B132&lt;&gt;"",RIGHT(Test!B132,LEN(Test!B132)-FIND(",",Test!B132,FIND(",",Test!B132)+1)),IF(Test!A132&lt;&gt;"",MID(Test!A132,FIND(",",Test!A132,FIND(",",Test!A132,FIND(",",Test!A132)+1)+1)+1,LEN(Test!A132)-FIND(",",Test!A132,FIND(",",Test!A132,FIND(",",Test!A132)+1)+1)),""))) &amp; IF(Test!C132&lt;&gt;"", " " &amp; SUBSTITUTE(Test!C132,"-",""), "")</f>
        <v/>
      </c>
    </row>
    <row r="133" spans="1:3" x14ac:dyDescent="0.25">
      <c r="A133" t="str">
        <f>IF(Test!A133="", "", IF(ISNUMBER(FIND("Query",Test!A133)), "AS Query ZMMIMR91 , ZGRIR_ALV", IF(LEFT(Test!A133,1)="7", "AS " &amp; Test!A133, "AS " &amp; IF(Test!B133="",SUBSTITUTE(MID(Test!A133,FIND(",",Test!A133)+1,FIND(",",Test!A133,FIND(",",Test!A133)+1)-FIND(",",Test!A133)-1),"Cube ",""),LEFT(Test!B133,FIND(",",Test!B133)-1)))))</f>
        <v/>
      </c>
      <c r="B133" t="str">
        <f>IF(ISNUMBER(SEARCH("Query", Test!A133)), MID(Test!A133,FIND(",", Test!A133,FIND(",", Test!A133,FIND(",", Test!A133)+1)+1)+1, FIND(",", Test!A133,FIND(",", Test!A133,FIND(",", Test!A133,FIND(",", Test!A133)+1)+1)+1)-FIND(",", Test!A133,FIND(",", Test!A133,FIND(",", Test!A133)+1)+1)-1), IF(Test!B133&lt;&gt;"",MID(Test!B133,FIND(",",Test!B133)+1,FIND(",",Test!B133,FIND(",",Test!B133)+1)-FIND(",",Test!B133)-1),IF(Test!A133&lt;&gt;"",MID(Test!A133,FIND(",",Test!A133,FIND(",",Test!A133)+1)+1,FIND(",",Test!A133,FIND(",",Test!A133,FIND(",",Test!A133)+1)+1)-FIND(",",Test!A133,FIND(",",Test!A133)+1)-1),"")))</f>
        <v/>
      </c>
      <c r="C133" t="str">
        <f>IF(ISNUMBER(FIND("Query",Test!A133)),RIGHT(Test!A133,LEN(Test!A133)-FIND(",",Test!A133,FIND(",",Test!A133,FIND(",",Test!A133,FIND(",",Test!A133)+1)+1)+1)),IF(Test!B133&lt;&gt;"",RIGHT(Test!B133,LEN(Test!B133)-FIND(",",Test!B133,FIND(",",Test!B133)+1)),IF(Test!A133&lt;&gt;"",MID(Test!A133,FIND(",",Test!A133,FIND(",",Test!A133,FIND(",",Test!A133)+1)+1)+1,LEN(Test!A133)-FIND(",",Test!A133,FIND(",",Test!A133,FIND(",",Test!A133)+1)+1)),""))) &amp; IF(Test!C133&lt;&gt;"", " " &amp; SUBSTITUTE(Test!C133,"-",""), "")</f>
        <v/>
      </c>
    </row>
    <row r="134" spans="1:3" x14ac:dyDescent="0.25">
      <c r="A134" t="str">
        <f>IF(Test!A134="", "", IF(ISNUMBER(FIND("Query",Test!A134)), "AS Query ZMMIMR91 , ZGRIR_ALV", IF(LEFT(Test!A134,1)="7", "AS " &amp; Test!A134, "AS " &amp; IF(Test!B134="",SUBSTITUTE(MID(Test!A134,FIND(",",Test!A134)+1,FIND(",",Test!A134,FIND(",",Test!A134)+1)-FIND(",",Test!A134)-1),"Cube ",""),LEFT(Test!B134,FIND(",",Test!B134)-1)))))</f>
        <v/>
      </c>
      <c r="B134" t="str">
        <f>IF(ISNUMBER(SEARCH("Query", Test!A134)), MID(Test!A134,FIND(",", Test!A134,FIND(",", Test!A134,FIND(",", Test!A134)+1)+1)+1, FIND(",", Test!A134,FIND(",", Test!A134,FIND(",", Test!A134,FIND(",", Test!A134)+1)+1)+1)-FIND(",", Test!A134,FIND(",", Test!A134,FIND(",", Test!A134)+1)+1)-1), IF(Test!B134&lt;&gt;"",MID(Test!B134,FIND(",",Test!B134)+1,FIND(",",Test!B134,FIND(",",Test!B134)+1)-FIND(",",Test!B134)-1),IF(Test!A134&lt;&gt;"",MID(Test!A134,FIND(",",Test!A134,FIND(",",Test!A134)+1)+1,FIND(",",Test!A134,FIND(",",Test!A134,FIND(",",Test!A134)+1)+1)-FIND(",",Test!A134,FIND(",",Test!A134)+1)-1),"")))</f>
        <v/>
      </c>
      <c r="C134" t="str">
        <f>IF(ISNUMBER(FIND("Query",Test!A134)),RIGHT(Test!A134,LEN(Test!A134)-FIND(",",Test!A134,FIND(",",Test!A134,FIND(",",Test!A134,FIND(",",Test!A134)+1)+1)+1)),IF(Test!B134&lt;&gt;"",RIGHT(Test!B134,LEN(Test!B134)-FIND(",",Test!B134,FIND(",",Test!B134)+1)),IF(Test!A134&lt;&gt;"",MID(Test!A134,FIND(",",Test!A134,FIND(",",Test!A134,FIND(",",Test!A134)+1)+1)+1,LEN(Test!A134)-FIND(",",Test!A134,FIND(",",Test!A134,FIND(",",Test!A134)+1)+1)),""))) &amp; IF(Test!C134&lt;&gt;"", " " &amp; SUBSTITUTE(Test!C134,"-",""), "")</f>
        <v/>
      </c>
    </row>
    <row r="135" spans="1:3" x14ac:dyDescent="0.25">
      <c r="A135" t="str">
        <f>IF(Test!A135="", "", IF(ISNUMBER(FIND("Query",Test!A135)), "AS Query ZMMIMR91 , ZGRIR_ALV", IF(LEFT(Test!A135,1)="7", "AS " &amp; Test!A135, "AS " &amp; IF(Test!B135="",SUBSTITUTE(MID(Test!A135,FIND(",",Test!A135)+1,FIND(",",Test!A135,FIND(",",Test!A135)+1)-FIND(",",Test!A135)-1),"Cube ",""),LEFT(Test!B135,FIND(",",Test!B135)-1)))))</f>
        <v/>
      </c>
      <c r="B135" t="str">
        <f>IF(ISNUMBER(SEARCH("Query", Test!A135)), MID(Test!A135,FIND(",", Test!A135,FIND(",", Test!A135,FIND(",", Test!A135)+1)+1)+1, FIND(",", Test!A135,FIND(",", Test!A135,FIND(",", Test!A135,FIND(",", Test!A135)+1)+1)+1)-FIND(",", Test!A135,FIND(",", Test!A135,FIND(",", Test!A135)+1)+1)-1), IF(Test!B135&lt;&gt;"",MID(Test!B135,FIND(",",Test!B135)+1,FIND(",",Test!B135,FIND(",",Test!B135)+1)-FIND(",",Test!B135)-1),IF(Test!A135&lt;&gt;"",MID(Test!A135,FIND(",",Test!A135,FIND(",",Test!A135)+1)+1,FIND(",",Test!A135,FIND(",",Test!A135,FIND(",",Test!A135)+1)+1)-FIND(",",Test!A135,FIND(",",Test!A135)+1)-1),"")))</f>
        <v/>
      </c>
      <c r="C135" t="str">
        <f>IF(ISNUMBER(FIND("Query",Test!A135)),RIGHT(Test!A135,LEN(Test!A135)-FIND(",",Test!A135,FIND(",",Test!A135,FIND(",",Test!A135,FIND(",",Test!A135)+1)+1)+1)),IF(Test!B135&lt;&gt;"",RIGHT(Test!B135,LEN(Test!B135)-FIND(",",Test!B135,FIND(",",Test!B135)+1)),IF(Test!A135&lt;&gt;"",MID(Test!A135,FIND(",",Test!A135,FIND(",",Test!A135,FIND(",",Test!A135)+1)+1)+1,LEN(Test!A135)-FIND(",",Test!A135,FIND(",",Test!A135,FIND(",",Test!A135)+1)+1)),""))) &amp; IF(Test!C135&lt;&gt;"", " " &amp; SUBSTITUTE(Test!C135,"-",""), "")</f>
        <v/>
      </c>
    </row>
    <row r="136" spans="1:3" x14ac:dyDescent="0.25">
      <c r="A136" t="str">
        <f>IF(Test!A136="", "", IF(ISNUMBER(FIND("Query",Test!A136)), "AS Query ZMMIMR91 , ZGRIR_ALV", IF(LEFT(Test!A136,1)="7", "AS " &amp; Test!A136, "AS " &amp; IF(Test!B136="",SUBSTITUTE(MID(Test!A136,FIND(",",Test!A136)+1,FIND(",",Test!A136,FIND(",",Test!A136)+1)-FIND(",",Test!A136)-1),"Cube ",""),LEFT(Test!B136,FIND(",",Test!B136)-1)))))</f>
        <v/>
      </c>
      <c r="B136" t="str">
        <f>IF(ISNUMBER(SEARCH("Query", Test!A136)), MID(Test!A136,FIND(",", Test!A136,FIND(",", Test!A136,FIND(",", Test!A136)+1)+1)+1, FIND(",", Test!A136,FIND(",", Test!A136,FIND(",", Test!A136,FIND(",", Test!A136)+1)+1)+1)-FIND(",", Test!A136,FIND(",", Test!A136,FIND(",", Test!A136)+1)+1)-1), IF(Test!B136&lt;&gt;"",MID(Test!B136,FIND(",",Test!B136)+1,FIND(",",Test!B136,FIND(",",Test!B136)+1)-FIND(",",Test!B136)-1),IF(Test!A136&lt;&gt;"",MID(Test!A136,FIND(",",Test!A136,FIND(",",Test!A136)+1)+1,FIND(",",Test!A136,FIND(",",Test!A136,FIND(",",Test!A136)+1)+1)-FIND(",",Test!A136,FIND(",",Test!A136)+1)-1),"")))</f>
        <v/>
      </c>
      <c r="C136" t="str">
        <f>IF(ISNUMBER(FIND("Query",Test!A136)),RIGHT(Test!A136,LEN(Test!A136)-FIND(",",Test!A136,FIND(",",Test!A136,FIND(",",Test!A136,FIND(",",Test!A136)+1)+1)+1)),IF(Test!B136&lt;&gt;"",RIGHT(Test!B136,LEN(Test!B136)-FIND(",",Test!B136,FIND(",",Test!B136)+1)),IF(Test!A136&lt;&gt;"",MID(Test!A136,FIND(",",Test!A136,FIND(",",Test!A136,FIND(",",Test!A136)+1)+1)+1,LEN(Test!A136)-FIND(",",Test!A136,FIND(",",Test!A136,FIND(",",Test!A136)+1)+1)),""))) &amp; IF(Test!C136&lt;&gt;"", " " &amp; SUBSTITUTE(Test!C136,"-",""), "")</f>
        <v/>
      </c>
    </row>
    <row r="137" spans="1:3" x14ac:dyDescent="0.25">
      <c r="A137" t="str">
        <f>IF(Test!A137="", "", IF(ISNUMBER(FIND("Query",Test!A137)), "AS Query ZMMIMR91 , ZGRIR_ALV", IF(LEFT(Test!A137,1)="7", "AS " &amp; Test!A137, "AS " &amp; IF(Test!B137="",SUBSTITUTE(MID(Test!A137,FIND(",",Test!A137)+1,FIND(",",Test!A137,FIND(",",Test!A137)+1)-FIND(",",Test!A137)-1),"Cube ",""),LEFT(Test!B137,FIND(",",Test!B137)-1)))))</f>
        <v/>
      </c>
      <c r="B137" t="str">
        <f>IF(ISNUMBER(SEARCH("Query", Test!A137)), MID(Test!A137,FIND(",", Test!A137,FIND(",", Test!A137,FIND(",", Test!A137)+1)+1)+1, FIND(",", Test!A137,FIND(",", Test!A137,FIND(",", Test!A137,FIND(",", Test!A137)+1)+1)+1)-FIND(",", Test!A137,FIND(",", Test!A137,FIND(",", Test!A137)+1)+1)-1), IF(Test!B137&lt;&gt;"",MID(Test!B137,FIND(",",Test!B137)+1,FIND(",",Test!B137,FIND(",",Test!B137)+1)-FIND(",",Test!B137)-1),IF(Test!A137&lt;&gt;"",MID(Test!A137,FIND(",",Test!A137,FIND(",",Test!A137)+1)+1,FIND(",",Test!A137,FIND(",",Test!A137,FIND(",",Test!A137)+1)+1)-FIND(",",Test!A137,FIND(",",Test!A137)+1)-1),"")))</f>
        <v/>
      </c>
      <c r="C137" t="str">
        <f>IF(ISNUMBER(FIND("Query",Test!A137)),RIGHT(Test!A137,LEN(Test!A137)-FIND(",",Test!A137,FIND(",",Test!A137,FIND(",",Test!A137,FIND(",",Test!A137)+1)+1)+1)),IF(Test!B137&lt;&gt;"",RIGHT(Test!B137,LEN(Test!B137)-FIND(",",Test!B137,FIND(",",Test!B137)+1)),IF(Test!A137&lt;&gt;"",MID(Test!A137,FIND(",",Test!A137,FIND(",",Test!A137,FIND(",",Test!A137)+1)+1)+1,LEN(Test!A137)-FIND(",",Test!A137,FIND(",",Test!A137,FIND(",",Test!A137)+1)+1)),""))) &amp; IF(Test!C137&lt;&gt;"", " " &amp; SUBSTITUTE(Test!C137,"-",""), "")</f>
        <v/>
      </c>
    </row>
    <row r="138" spans="1:3" x14ac:dyDescent="0.25">
      <c r="A138" t="str">
        <f>IF(Test!A138="", "", IF(ISNUMBER(FIND("Query",Test!A138)), "AS Query ZMMIMR91 , ZGRIR_ALV", IF(LEFT(Test!A138,1)="7", "AS " &amp; Test!A138, "AS " &amp; IF(Test!B138="",SUBSTITUTE(MID(Test!A138,FIND(",",Test!A138)+1,FIND(",",Test!A138,FIND(",",Test!A138)+1)-FIND(",",Test!A138)-1),"Cube ",""),LEFT(Test!B138,FIND(",",Test!B138)-1)))))</f>
        <v/>
      </c>
      <c r="B138" t="str">
        <f>IF(ISNUMBER(SEARCH("Query", Test!A138)), MID(Test!A138,FIND(",", Test!A138,FIND(",", Test!A138,FIND(",", Test!A138)+1)+1)+1, FIND(",", Test!A138,FIND(",", Test!A138,FIND(",", Test!A138,FIND(",", Test!A138)+1)+1)+1)-FIND(",", Test!A138,FIND(",", Test!A138,FIND(",", Test!A138)+1)+1)-1), IF(Test!B138&lt;&gt;"",MID(Test!B138,FIND(",",Test!B138)+1,FIND(",",Test!B138,FIND(",",Test!B138)+1)-FIND(",",Test!B138)-1),IF(Test!A138&lt;&gt;"",MID(Test!A138,FIND(",",Test!A138,FIND(",",Test!A138)+1)+1,FIND(",",Test!A138,FIND(",",Test!A138,FIND(",",Test!A138)+1)+1)-FIND(",",Test!A138,FIND(",",Test!A138)+1)-1),"")))</f>
        <v/>
      </c>
      <c r="C138" t="str">
        <f>IF(ISNUMBER(FIND("Query",Test!A138)),RIGHT(Test!A138,LEN(Test!A138)-FIND(",",Test!A138,FIND(",",Test!A138,FIND(",",Test!A138,FIND(",",Test!A138)+1)+1)+1)),IF(Test!B138&lt;&gt;"",RIGHT(Test!B138,LEN(Test!B138)-FIND(",",Test!B138,FIND(",",Test!B138)+1)),IF(Test!A138&lt;&gt;"",MID(Test!A138,FIND(",",Test!A138,FIND(",",Test!A138,FIND(",",Test!A138)+1)+1)+1,LEN(Test!A138)-FIND(",",Test!A138,FIND(",",Test!A138,FIND(",",Test!A138)+1)+1)),""))) &amp; IF(Test!C138&lt;&gt;"", " " &amp; SUBSTITUTE(Test!C138,"-",""), "")</f>
        <v/>
      </c>
    </row>
    <row r="139" spans="1:3" x14ac:dyDescent="0.25">
      <c r="A139" t="str">
        <f>IF(Test!A139="", "", IF(ISNUMBER(FIND("Query",Test!A139)), "AS Query ZMMIMR91 , ZGRIR_ALV", IF(LEFT(Test!A139,1)="7", "AS " &amp; Test!A139, "AS " &amp; IF(Test!B139="",SUBSTITUTE(MID(Test!A139,FIND(",",Test!A139)+1,FIND(",",Test!A139,FIND(",",Test!A139)+1)-FIND(",",Test!A139)-1),"Cube ",""),LEFT(Test!B139,FIND(",",Test!B139)-1)))))</f>
        <v/>
      </c>
      <c r="B139" t="str">
        <f>IF(ISNUMBER(SEARCH("Query", Test!A139)), MID(Test!A139,FIND(",", Test!A139,FIND(",", Test!A139,FIND(",", Test!A139)+1)+1)+1, FIND(",", Test!A139,FIND(",", Test!A139,FIND(",", Test!A139,FIND(",", Test!A139)+1)+1)+1)-FIND(",", Test!A139,FIND(",", Test!A139,FIND(",", Test!A139)+1)+1)-1), IF(Test!B139&lt;&gt;"",MID(Test!B139,FIND(",",Test!B139)+1,FIND(",",Test!B139,FIND(",",Test!B139)+1)-FIND(",",Test!B139)-1),IF(Test!A139&lt;&gt;"",MID(Test!A139,FIND(",",Test!A139,FIND(",",Test!A139)+1)+1,FIND(",",Test!A139,FIND(",",Test!A139,FIND(",",Test!A139)+1)+1)-FIND(",",Test!A139,FIND(",",Test!A139)+1)-1),"")))</f>
        <v/>
      </c>
      <c r="C139" t="str">
        <f>IF(ISNUMBER(FIND("Query",Test!A139)),RIGHT(Test!A139,LEN(Test!A139)-FIND(",",Test!A139,FIND(",",Test!A139,FIND(",",Test!A139,FIND(",",Test!A139)+1)+1)+1)),IF(Test!B139&lt;&gt;"",RIGHT(Test!B139,LEN(Test!B139)-FIND(",",Test!B139,FIND(",",Test!B139)+1)),IF(Test!A139&lt;&gt;"",MID(Test!A139,FIND(",",Test!A139,FIND(",",Test!A139,FIND(",",Test!A139)+1)+1)+1,LEN(Test!A139)-FIND(",",Test!A139,FIND(",",Test!A139,FIND(",",Test!A139)+1)+1)),""))) &amp; IF(Test!C139&lt;&gt;"", " " &amp; SUBSTITUTE(Test!C139,"-",""), "")</f>
        <v/>
      </c>
    </row>
    <row r="140" spans="1:3" x14ac:dyDescent="0.25">
      <c r="A140" t="str">
        <f>IF(Test!A140="", "", IF(ISNUMBER(FIND("Query",Test!A140)), "AS Query ZMMIMR91 , ZGRIR_ALV", IF(LEFT(Test!A140,1)="7", "AS " &amp; Test!A140, "AS " &amp; IF(Test!B140="",SUBSTITUTE(MID(Test!A140,FIND(",",Test!A140)+1,FIND(",",Test!A140,FIND(",",Test!A140)+1)-FIND(",",Test!A140)-1),"Cube ",""),LEFT(Test!B140,FIND(",",Test!B140)-1)))))</f>
        <v/>
      </c>
      <c r="B140" t="str">
        <f>IF(ISNUMBER(SEARCH("Query", Test!A140)), MID(Test!A140,FIND(",", Test!A140,FIND(",", Test!A140,FIND(",", Test!A140)+1)+1)+1, FIND(",", Test!A140,FIND(",", Test!A140,FIND(",", Test!A140,FIND(",", Test!A140)+1)+1)+1)-FIND(",", Test!A140,FIND(",", Test!A140,FIND(",", Test!A140)+1)+1)-1), IF(Test!B140&lt;&gt;"",MID(Test!B140,FIND(",",Test!B140)+1,FIND(",",Test!B140,FIND(",",Test!B140)+1)-FIND(",",Test!B140)-1),IF(Test!A140&lt;&gt;"",MID(Test!A140,FIND(",",Test!A140,FIND(",",Test!A140)+1)+1,FIND(",",Test!A140,FIND(",",Test!A140,FIND(",",Test!A140)+1)+1)-FIND(",",Test!A140,FIND(",",Test!A140)+1)-1),"")))</f>
        <v/>
      </c>
      <c r="C140" t="str">
        <f>IF(ISNUMBER(FIND("Query",Test!A140)),RIGHT(Test!A140,LEN(Test!A140)-FIND(",",Test!A140,FIND(",",Test!A140,FIND(",",Test!A140,FIND(",",Test!A140)+1)+1)+1)),IF(Test!B140&lt;&gt;"",RIGHT(Test!B140,LEN(Test!B140)-FIND(",",Test!B140,FIND(",",Test!B140)+1)),IF(Test!A140&lt;&gt;"",MID(Test!A140,FIND(",",Test!A140,FIND(",",Test!A140,FIND(",",Test!A140)+1)+1)+1,LEN(Test!A140)-FIND(",",Test!A140,FIND(",",Test!A140,FIND(",",Test!A140)+1)+1)),""))) &amp; IF(Test!C140&lt;&gt;"", " " &amp; SUBSTITUTE(Test!C140,"-",""), "")</f>
        <v/>
      </c>
    </row>
    <row r="141" spans="1:3" x14ac:dyDescent="0.25">
      <c r="A141" t="str">
        <f>IF(Test!A141="", "", IF(ISNUMBER(FIND("Query",Test!A141)), "AS Query ZMMIMR91 , ZGRIR_ALV", IF(LEFT(Test!A141,1)="7", "AS " &amp; Test!A141, "AS " &amp; IF(Test!B141="",SUBSTITUTE(MID(Test!A141,FIND(",",Test!A141)+1,FIND(",",Test!A141,FIND(",",Test!A141)+1)-FIND(",",Test!A141)-1),"Cube ",""),LEFT(Test!B141,FIND(",",Test!B141)-1)))))</f>
        <v/>
      </c>
      <c r="B141" t="str">
        <f>IF(ISNUMBER(SEARCH("Query", Test!A141)), MID(Test!A141,FIND(",", Test!A141,FIND(",", Test!A141,FIND(",", Test!A141)+1)+1)+1, FIND(",", Test!A141,FIND(",", Test!A141,FIND(",", Test!A141,FIND(",", Test!A141)+1)+1)+1)-FIND(",", Test!A141,FIND(",", Test!A141,FIND(",", Test!A141)+1)+1)-1), IF(Test!B141&lt;&gt;"",MID(Test!B141,FIND(",",Test!B141)+1,FIND(",",Test!B141,FIND(",",Test!B141)+1)-FIND(",",Test!B141)-1),IF(Test!A141&lt;&gt;"",MID(Test!A141,FIND(",",Test!A141,FIND(",",Test!A141)+1)+1,FIND(",",Test!A141,FIND(",",Test!A141,FIND(",",Test!A141)+1)+1)-FIND(",",Test!A141,FIND(",",Test!A141)+1)-1),"")))</f>
        <v/>
      </c>
      <c r="C141" t="str">
        <f>IF(ISNUMBER(FIND("Query",Test!A141)),RIGHT(Test!A141,LEN(Test!A141)-FIND(",",Test!A141,FIND(",",Test!A141,FIND(",",Test!A141,FIND(",",Test!A141)+1)+1)+1)),IF(Test!B141&lt;&gt;"",RIGHT(Test!B141,LEN(Test!B141)-FIND(",",Test!B141,FIND(",",Test!B141)+1)),IF(Test!A141&lt;&gt;"",MID(Test!A141,FIND(",",Test!A141,FIND(",",Test!A141,FIND(",",Test!A141)+1)+1)+1,LEN(Test!A141)-FIND(",",Test!A141,FIND(",",Test!A141,FIND(",",Test!A141)+1)+1)),""))) &amp; IF(Test!C141&lt;&gt;"", " " &amp; SUBSTITUTE(Test!C141,"-",""), "")</f>
        <v/>
      </c>
    </row>
    <row r="142" spans="1:3" x14ac:dyDescent="0.25">
      <c r="A142" t="str">
        <f>IF(Test!A142="", "", IF(ISNUMBER(FIND("Query",Test!A142)), "AS Query ZMMIMR91 , ZGRIR_ALV", IF(LEFT(Test!A142,1)="7", "AS " &amp; Test!A142, "AS " &amp; IF(Test!B142="",SUBSTITUTE(MID(Test!A142,FIND(",",Test!A142)+1,FIND(",",Test!A142,FIND(",",Test!A142)+1)-FIND(",",Test!A142)-1),"Cube ",""),LEFT(Test!B142,FIND(",",Test!B142)-1)))))</f>
        <v/>
      </c>
      <c r="B142" t="str">
        <f>IF(ISNUMBER(SEARCH("Query", Test!A142)), MID(Test!A142,FIND(",", Test!A142,FIND(",", Test!A142,FIND(",", Test!A142)+1)+1)+1, FIND(",", Test!A142,FIND(",", Test!A142,FIND(",", Test!A142,FIND(",", Test!A142)+1)+1)+1)-FIND(",", Test!A142,FIND(",", Test!A142,FIND(",", Test!A142)+1)+1)-1), IF(Test!B142&lt;&gt;"",MID(Test!B142,FIND(",",Test!B142)+1,FIND(",",Test!B142,FIND(",",Test!B142)+1)-FIND(",",Test!B142)-1),IF(Test!A142&lt;&gt;"",MID(Test!A142,FIND(",",Test!A142,FIND(",",Test!A142)+1)+1,FIND(",",Test!A142,FIND(",",Test!A142,FIND(",",Test!A142)+1)+1)-FIND(",",Test!A142,FIND(",",Test!A142)+1)-1),"")))</f>
        <v/>
      </c>
      <c r="C142" t="str">
        <f>IF(ISNUMBER(FIND("Query",Test!A142)),RIGHT(Test!A142,LEN(Test!A142)-FIND(",",Test!A142,FIND(",",Test!A142,FIND(",",Test!A142,FIND(",",Test!A142)+1)+1)+1)),IF(Test!B142&lt;&gt;"",RIGHT(Test!B142,LEN(Test!B142)-FIND(",",Test!B142,FIND(",",Test!B142)+1)),IF(Test!A142&lt;&gt;"",MID(Test!A142,FIND(",",Test!A142,FIND(",",Test!A142,FIND(",",Test!A142)+1)+1)+1,LEN(Test!A142)-FIND(",",Test!A142,FIND(",",Test!A142,FIND(",",Test!A142)+1)+1)),""))) &amp; IF(Test!C142&lt;&gt;"", " " &amp; SUBSTITUTE(Test!C142,"-",""), "")</f>
        <v/>
      </c>
    </row>
    <row r="143" spans="1:3" x14ac:dyDescent="0.25">
      <c r="A143" t="str">
        <f>IF(Test!A143="", "", IF(ISNUMBER(FIND("Query",Test!A143)), "AS Query ZMMIMR91 , ZGRIR_ALV", IF(LEFT(Test!A143,1)="7", "AS " &amp; Test!A143, "AS " &amp; IF(Test!B143="",SUBSTITUTE(MID(Test!A143,FIND(",",Test!A143)+1,FIND(",",Test!A143,FIND(",",Test!A143)+1)-FIND(",",Test!A143)-1),"Cube ",""),LEFT(Test!B143,FIND(",",Test!B143)-1)))))</f>
        <v/>
      </c>
      <c r="B143" t="str">
        <f>IF(ISNUMBER(SEARCH("Query", Test!A143)), MID(Test!A143,FIND(",", Test!A143,FIND(",", Test!A143,FIND(",", Test!A143)+1)+1)+1, FIND(",", Test!A143,FIND(",", Test!A143,FIND(",", Test!A143,FIND(",", Test!A143)+1)+1)+1)-FIND(",", Test!A143,FIND(",", Test!A143,FIND(",", Test!A143)+1)+1)-1), IF(Test!B143&lt;&gt;"",MID(Test!B143,FIND(",",Test!B143)+1,FIND(",",Test!B143,FIND(",",Test!B143)+1)-FIND(",",Test!B143)-1),IF(Test!A143&lt;&gt;"",MID(Test!A143,FIND(",",Test!A143,FIND(",",Test!A143)+1)+1,FIND(",",Test!A143,FIND(",",Test!A143,FIND(",",Test!A143)+1)+1)-FIND(",",Test!A143,FIND(",",Test!A143)+1)-1),"")))</f>
        <v/>
      </c>
      <c r="C143" t="str">
        <f>IF(ISNUMBER(FIND("Query",Test!A143)),RIGHT(Test!A143,LEN(Test!A143)-FIND(",",Test!A143,FIND(",",Test!A143,FIND(",",Test!A143,FIND(",",Test!A143)+1)+1)+1)),IF(Test!B143&lt;&gt;"",RIGHT(Test!B143,LEN(Test!B143)-FIND(",",Test!B143,FIND(",",Test!B143)+1)),IF(Test!A143&lt;&gt;"",MID(Test!A143,FIND(",",Test!A143,FIND(",",Test!A143,FIND(",",Test!A143)+1)+1)+1,LEN(Test!A143)-FIND(",",Test!A143,FIND(",",Test!A143,FIND(",",Test!A143)+1)+1)),""))) &amp; IF(Test!C143&lt;&gt;"", " " &amp; SUBSTITUTE(Test!C143,"-",""), "")</f>
        <v/>
      </c>
    </row>
    <row r="144" spans="1:3" x14ac:dyDescent="0.25">
      <c r="A144" t="str">
        <f>IF(Test!A144="", "", IF(ISNUMBER(FIND("Query",Test!A144)), "AS Query ZMMIMR91 , ZGRIR_ALV", IF(LEFT(Test!A144,1)="7", "AS " &amp; Test!A144, "AS " &amp; IF(Test!B144="",SUBSTITUTE(MID(Test!A144,FIND(",",Test!A144)+1,FIND(",",Test!A144,FIND(",",Test!A144)+1)-FIND(",",Test!A144)-1),"Cube ",""),LEFT(Test!B144,FIND(",",Test!B144)-1)))))</f>
        <v/>
      </c>
      <c r="B144" t="str">
        <f>IF(ISNUMBER(SEARCH("Query", Test!A144)), MID(Test!A144,FIND(",", Test!A144,FIND(",", Test!A144,FIND(",", Test!A144)+1)+1)+1, FIND(",", Test!A144,FIND(",", Test!A144,FIND(",", Test!A144,FIND(",", Test!A144)+1)+1)+1)-FIND(",", Test!A144,FIND(",", Test!A144,FIND(",", Test!A144)+1)+1)-1), IF(Test!B144&lt;&gt;"",MID(Test!B144,FIND(",",Test!B144)+1,FIND(",",Test!B144,FIND(",",Test!B144)+1)-FIND(",",Test!B144)-1),IF(Test!A144&lt;&gt;"",MID(Test!A144,FIND(",",Test!A144,FIND(",",Test!A144)+1)+1,FIND(",",Test!A144,FIND(",",Test!A144,FIND(",",Test!A144)+1)+1)-FIND(",",Test!A144,FIND(",",Test!A144)+1)-1),"")))</f>
        <v/>
      </c>
      <c r="C144" t="str">
        <f>IF(ISNUMBER(FIND("Query",Test!A144)),RIGHT(Test!A144,LEN(Test!A144)-FIND(",",Test!A144,FIND(",",Test!A144,FIND(",",Test!A144,FIND(",",Test!A144)+1)+1)+1)),IF(Test!B144&lt;&gt;"",RIGHT(Test!B144,LEN(Test!B144)-FIND(",",Test!B144,FIND(",",Test!B144)+1)),IF(Test!A144&lt;&gt;"",MID(Test!A144,FIND(",",Test!A144,FIND(",",Test!A144,FIND(",",Test!A144)+1)+1)+1,LEN(Test!A144)-FIND(",",Test!A144,FIND(",",Test!A144,FIND(",",Test!A144)+1)+1)),""))) &amp; IF(Test!C144&lt;&gt;"", " " &amp; SUBSTITUTE(Test!C144,"-",""), "")</f>
        <v/>
      </c>
    </row>
    <row r="145" spans="1:3" x14ac:dyDescent="0.25">
      <c r="A145" t="str">
        <f>IF(Test!A145="", "", IF(ISNUMBER(FIND("Query",Test!A145)), "AS Query ZMMIMR91 , ZGRIR_ALV", IF(LEFT(Test!A145,1)="7", "AS " &amp; Test!A145, "AS " &amp; IF(Test!B145="",SUBSTITUTE(MID(Test!A145,FIND(",",Test!A145)+1,FIND(",",Test!A145,FIND(",",Test!A145)+1)-FIND(",",Test!A145)-1),"Cube ",""),LEFT(Test!B145,FIND(",",Test!B145)-1)))))</f>
        <v/>
      </c>
      <c r="B145" t="str">
        <f>IF(ISNUMBER(SEARCH("Query", Test!A145)), MID(Test!A145,FIND(",", Test!A145,FIND(",", Test!A145,FIND(",", Test!A145)+1)+1)+1, FIND(",", Test!A145,FIND(",", Test!A145,FIND(",", Test!A145,FIND(",", Test!A145)+1)+1)+1)-FIND(",", Test!A145,FIND(",", Test!A145,FIND(",", Test!A145)+1)+1)-1), IF(Test!B145&lt;&gt;"",MID(Test!B145,FIND(",",Test!B145)+1,FIND(",",Test!B145,FIND(",",Test!B145)+1)-FIND(",",Test!B145)-1),IF(Test!A145&lt;&gt;"",MID(Test!A145,FIND(",",Test!A145,FIND(",",Test!A145)+1)+1,FIND(",",Test!A145,FIND(",",Test!A145,FIND(",",Test!A145)+1)+1)-FIND(",",Test!A145,FIND(",",Test!A145)+1)-1),"")))</f>
        <v/>
      </c>
      <c r="C145" t="str">
        <f>IF(ISNUMBER(FIND("Query",Test!A145)),RIGHT(Test!A145,LEN(Test!A145)-FIND(",",Test!A145,FIND(",",Test!A145,FIND(",",Test!A145,FIND(",",Test!A145)+1)+1)+1)),IF(Test!B145&lt;&gt;"",RIGHT(Test!B145,LEN(Test!B145)-FIND(",",Test!B145,FIND(",",Test!B145)+1)),IF(Test!A145&lt;&gt;"",MID(Test!A145,FIND(",",Test!A145,FIND(",",Test!A145,FIND(",",Test!A145)+1)+1)+1,LEN(Test!A145)-FIND(",",Test!A145,FIND(",",Test!A145,FIND(",",Test!A145)+1)+1)),""))) &amp; IF(Test!C145&lt;&gt;"", " " &amp; SUBSTITUTE(Test!C145,"-",""), "")</f>
        <v/>
      </c>
    </row>
    <row r="146" spans="1:3" x14ac:dyDescent="0.25">
      <c r="A146" t="str">
        <f>IF(Test!A146="", "", IF(ISNUMBER(FIND("Query",Test!A146)), "AS Query ZMMIMR91 , ZGRIR_ALV", IF(LEFT(Test!A146,1)="7", "AS " &amp; Test!A146, "AS " &amp; IF(Test!B146="",SUBSTITUTE(MID(Test!A146,FIND(",",Test!A146)+1,FIND(",",Test!A146,FIND(",",Test!A146)+1)-FIND(",",Test!A146)-1),"Cube ",""),LEFT(Test!B146,FIND(",",Test!B146)-1)))))</f>
        <v/>
      </c>
      <c r="B146" t="str">
        <f>IF(ISNUMBER(SEARCH("Query", Test!A146)), MID(Test!A146,FIND(",", Test!A146,FIND(",", Test!A146,FIND(",", Test!A146)+1)+1)+1, FIND(",", Test!A146,FIND(",", Test!A146,FIND(",", Test!A146,FIND(",", Test!A146)+1)+1)+1)-FIND(",", Test!A146,FIND(",", Test!A146,FIND(",", Test!A146)+1)+1)-1), IF(Test!B146&lt;&gt;"",MID(Test!B146,FIND(",",Test!B146)+1,FIND(",",Test!B146,FIND(",",Test!B146)+1)-FIND(",",Test!B146)-1),IF(Test!A146&lt;&gt;"",MID(Test!A146,FIND(",",Test!A146,FIND(",",Test!A146)+1)+1,FIND(",",Test!A146,FIND(",",Test!A146,FIND(",",Test!A146)+1)+1)-FIND(",",Test!A146,FIND(",",Test!A146)+1)-1),"")))</f>
        <v/>
      </c>
      <c r="C146" t="str">
        <f>IF(ISNUMBER(FIND("Query",Test!A146)),RIGHT(Test!A146,LEN(Test!A146)-FIND(",",Test!A146,FIND(",",Test!A146,FIND(",",Test!A146,FIND(",",Test!A146)+1)+1)+1)),IF(Test!B146&lt;&gt;"",RIGHT(Test!B146,LEN(Test!B146)-FIND(",",Test!B146,FIND(",",Test!B146)+1)),IF(Test!A146&lt;&gt;"",MID(Test!A146,FIND(",",Test!A146,FIND(",",Test!A146,FIND(",",Test!A146)+1)+1)+1,LEN(Test!A146)-FIND(",",Test!A146,FIND(",",Test!A146,FIND(",",Test!A146)+1)+1)),""))) &amp; IF(Test!C146&lt;&gt;"", " " &amp; SUBSTITUTE(Test!C146,"-",""), "")</f>
        <v/>
      </c>
    </row>
    <row r="147" spans="1:3" x14ac:dyDescent="0.25">
      <c r="A147" t="str">
        <f>IF(Test!A147="", "", IF(ISNUMBER(FIND("Query",Test!A147)), "AS Query ZMMIMR91 , ZGRIR_ALV", IF(LEFT(Test!A147,1)="7", "AS " &amp; Test!A147, "AS " &amp; IF(Test!B147="",SUBSTITUTE(MID(Test!A147,FIND(",",Test!A147)+1,FIND(",",Test!A147,FIND(",",Test!A147)+1)-FIND(",",Test!A147)-1),"Cube ",""),LEFT(Test!B147,FIND(",",Test!B147)-1)))))</f>
        <v/>
      </c>
      <c r="B147" t="str">
        <f>IF(ISNUMBER(SEARCH("Query", Test!A147)), MID(Test!A147,FIND(",", Test!A147,FIND(",", Test!A147,FIND(",", Test!A147)+1)+1)+1, FIND(",", Test!A147,FIND(",", Test!A147,FIND(",", Test!A147,FIND(",", Test!A147)+1)+1)+1)-FIND(",", Test!A147,FIND(",", Test!A147,FIND(",", Test!A147)+1)+1)-1), IF(Test!B147&lt;&gt;"",MID(Test!B147,FIND(",",Test!B147)+1,FIND(",",Test!B147,FIND(",",Test!B147)+1)-FIND(",",Test!B147)-1),IF(Test!A147&lt;&gt;"",MID(Test!A147,FIND(",",Test!A147,FIND(",",Test!A147)+1)+1,FIND(",",Test!A147,FIND(",",Test!A147,FIND(",",Test!A147)+1)+1)-FIND(",",Test!A147,FIND(",",Test!A147)+1)-1),"")))</f>
        <v/>
      </c>
      <c r="C147" t="str">
        <f>IF(ISNUMBER(FIND("Query",Test!A147)),RIGHT(Test!A147,LEN(Test!A147)-FIND(",",Test!A147,FIND(",",Test!A147,FIND(",",Test!A147,FIND(",",Test!A147)+1)+1)+1)),IF(Test!B147&lt;&gt;"",RIGHT(Test!B147,LEN(Test!B147)-FIND(",",Test!B147,FIND(",",Test!B147)+1)),IF(Test!A147&lt;&gt;"",MID(Test!A147,FIND(",",Test!A147,FIND(",",Test!A147,FIND(",",Test!A147)+1)+1)+1,LEN(Test!A147)-FIND(",",Test!A147,FIND(",",Test!A147,FIND(",",Test!A147)+1)+1)),""))) &amp; IF(Test!C147&lt;&gt;"", " " &amp; SUBSTITUTE(Test!C147,"-",""), "")</f>
        <v/>
      </c>
    </row>
    <row r="148" spans="1:3" x14ac:dyDescent="0.25">
      <c r="A148" t="str">
        <f>IF(Test!A148="", "", IF(ISNUMBER(FIND("Query",Test!A148)), "AS Query ZMMIMR91 , ZGRIR_ALV", IF(LEFT(Test!A148,1)="7", "AS " &amp; Test!A148, "AS " &amp; IF(Test!B148="",SUBSTITUTE(MID(Test!A148,FIND(",",Test!A148)+1,FIND(",",Test!A148,FIND(",",Test!A148)+1)-FIND(",",Test!A148)-1),"Cube ",""),LEFT(Test!B148,FIND(",",Test!B148)-1)))))</f>
        <v/>
      </c>
      <c r="B148" t="str">
        <f>IF(ISNUMBER(SEARCH("Query", Test!A148)), MID(Test!A148,FIND(",", Test!A148,FIND(",", Test!A148,FIND(",", Test!A148)+1)+1)+1, FIND(",", Test!A148,FIND(",", Test!A148,FIND(",", Test!A148,FIND(",", Test!A148)+1)+1)+1)-FIND(",", Test!A148,FIND(",", Test!A148,FIND(",", Test!A148)+1)+1)-1), IF(Test!B148&lt;&gt;"",MID(Test!B148,FIND(",",Test!B148)+1,FIND(",",Test!B148,FIND(",",Test!B148)+1)-FIND(",",Test!B148)-1),IF(Test!A148&lt;&gt;"",MID(Test!A148,FIND(",",Test!A148,FIND(",",Test!A148)+1)+1,FIND(",",Test!A148,FIND(",",Test!A148,FIND(",",Test!A148)+1)+1)-FIND(",",Test!A148,FIND(",",Test!A148)+1)-1),"")))</f>
        <v/>
      </c>
      <c r="C148" t="str">
        <f>IF(ISNUMBER(FIND("Query",Test!A148)),RIGHT(Test!A148,LEN(Test!A148)-FIND(",",Test!A148,FIND(",",Test!A148,FIND(",",Test!A148,FIND(",",Test!A148)+1)+1)+1)),IF(Test!B148&lt;&gt;"",RIGHT(Test!B148,LEN(Test!B148)-FIND(",",Test!B148,FIND(",",Test!B148)+1)),IF(Test!A148&lt;&gt;"",MID(Test!A148,FIND(",",Test!A148,FIND(",",Test!A148,FIND(",",Test!A148)+1)+1)+1,LEN(Test!A148)-FIND(",",Test!A148,FIND(",",Test!A148,FIND(",",Test!A148)+1)+1)),""))) &amp; IF(Test!C148&lt;&gt;"", " " &amp; SUBSTITUTE(Test!C148,"-",""), "")</f>
        <v/>
      </c>
    </row>
    <row r="149" spans="1:3" x14ac:dyDescent="0.25">
      <c r="A149" t="str">
        <f>IF(Test!A149="", "", IF(ISNUMBER(FIND("Query",Test!A149)), "AS Query ZMMIMR91 , ZGRIR_ALV", IF(LEFT(Test!A149,1)="7", "AS " &amp; Test!A149, "AS " &amp; IF(Test!B149="",SUBSTITUTE(MID(Test!A149,FIND(",",Test!A149)+1,FIND(",",Test!A149,FIND(",",Test!A149)+1)-FIND(",",Test!A149)-1),"Cube ",""),LEFT(Test!B149,FIND(",",Test!B149)-1)))))</f>
        <v/>
      </c>
      <c r="B149" t="str">
        <f>IF(ISNUMBER(SEARCH("Query", Test!A149)), MID(Test!A149,FIND(",", Test!A149,FIND(",", Test!A149,FIND(",", Test!A149)+1)+1)+1, FIND(",", Test!A149,FIND(",", Test!A149,FIND(",", Test!A149,FIND(",", Test!A149)+1)+1)+1)-FIND(",", Test!A149,FIND(",", Test!A149,FIND(",", Test!A149)+1)+1)-1), IF(Test!B149&lt;&gt;"",MID(Test!B149,FIND(",",Test!B149)+1,FIND(",",Test!B149,FIND(",",Test!B149)+1)-FIND(",",Test!B149)-1),IF(Test!A149&lt;&gt;"",MID(Test!A149,FIND(",",Test!A149,FIND(",",Test!A149)+1)+1,FIND(",",Test!A149,FIND(",",Test!A149,FIND(",",Test!A149)+1)+1)-FIND(",",Test!A149,FIND(",",Test!A149)+1)-1),"")))</f>
        <v/>
      </c>
      <c r="C149" t="str">
        <f>IF(ISNUMBER(FIND("Query",Test!A149)),RIGHT(Test!A149,LEN(Test!A149)-FIND(",",Test!A149,FIND(",",Test!A149,FIND(",",Test!A149,FIND(",",Test!A149)+1)+1)+1)),IF(Test!B149&lt;&gt;"",RIGHT(Test!B149,LEN(Test!B149)-FIND(",",Test!B149,FIND(",",Test!B149)+1)),IF(Test!A149&lt;&gt;"",MID(Test!A149,FIND(",",Test!A149,FIND(",",Test!A149,FIND(",",Test!A149)+1)+1)+1,LEN(Test!A149)-FIND(",",Test!A149,FIND(",",Test!A149,FIND(",",Test!A149)+1)+1)),""))) &amp; IF(Test!C149&lt;&gt;"", " " &amp; SUBSTITUTE(Test!C149,"-",""), "")</f>
        <v/>
      </c>
    </row>
    <row r="150" spans="1:3" x14ac:dyDescent="0.25">
      <c r="A150" t="str">
        <f>IF(Test!A150="", "", IF(ISNUMBER(FIND("Query",Test!A150)), "AS Query ZMMIMR91 , ZGRIR_ALV", IF(LEFT(Test!A150,1)="7", "AS " &amp; Test!A150, "AS " &amp; IF(Test!B150="",SUBSTITUTE(MID(Test!A150,FIND(",",Test!A150)+1,FIND(",",Test!A150,FIND(",",Test!A150)+1)-FIND(",",Test!A150)-1),"Cube ",""),LEFT(Test!B150,FIND(",",Test!B150)-1)))))</f>
        <v/>
      </c>
      <c r="B150" t="str">
        <f>IF(ISNUMBER(SEARCH("Query", Test!A150)), MID(Test!A150,FIND(",", Test!A150,FIND(",", Test!A150,FIND(",", Test!A150)+1)+1)+1, FIND(",", Test!A150,FIND(",", Test!A150,FIND(",", Test!A150,FIND(",", Test!A150)+1)+1)+1)-FIND(",", Test!A150,FIND(",", Test!A150,FIND(",", Test!A150)+1)+1)-1), IF(Test!B150&lt;&gt;"",MID(Test!B150,FIND(",",Test!B150)+1,FIND(",",Test!B150,FIND(",",Test!B150)+1)-FIND(",",Test!B150)-1),IF(Test!A150&lt;&gt;"",MID(Test!A150,FIND(",",Test!A150,FIND(",",Test!A150)+1)+1,FIND(",",Test!A150,FIND(",",Test!A150,FIND(",",Test!A150)+1)+1)-FIND(",",Test!A150,FIND(",",Test!A150)+1)-1),"")))</f>
        <v/>
      </c>
      <c r="C150" t="str">
        <f>IF(ISNUMBER(FIND("Query",Test!A150)),RIGHT(Test!A150,LEN(Test!A150)-FIND(",",Test!A150,FIND(",",Test!A150,FIND(",",Test!A150,FIND(",",Test!A150)+1)+1)+1)),IF(Test!B150&lt;&gt;"",RIGHT(Test!B150,LEN(Test!B150)-FIND(",",Test!B150,FIND(",",Test!B150)+1)),IF(Test!A150&lt;&gt;"",MID(Test!A150,FIND(",",Test!A150,FIND(",",Test!A150,FIND(",",Test!A150)+1)+1)+1,LEN(Test!A150)-FIND(",",Test!A150,FIND(",",Test!A150,FIND(",",Test!A150)+1)+1)),""))) &amp; IF(Test!C150&lt;&gt;"", " " &amp; SUBSTITUTE(Test!C150,"-",""), "")</f>
        <v/>
      </c>
    </row>
    <row r="151" spans="1:3" x14ac:dyDescent="0.25">
      <c r="A151" t="str">
        <f>IF(Test!A151="", "", IF(ISNUMBER(FIND("Query",Test!A151)), "AS Query ZMMIMR91 , ZGRIR_ALV", IF(LEFT(Test!A151,1)="7", "AS " &amp; Test!A151, "AS " &amp; IF(Test!B151="",SUBSTITUTE(MID(Test!A151,FIND(",",Test!A151)+1,FIND(",",Test!A151,FIND(",",Test!A151)+1)-FIND(",",Test!A151)-1),"Cube ",""),LEFT(Test!B151,FIND(",",Test!B151)-1)))))</f>
        <v/>
      </c>
      <c r="B151" t="str">
        <f>IF(ISNUMBER(SEARCH("Query", Test!A151)), MID(Test!A151,FIND(",", Test!A151,FIND(",", Test!A151,FIND(",", Test!A151)+1)+1)+1, FIND(",", Test!A151,FIND(",", Test!A151,FIND(",", Test!A151,FIND(",", Test!A151)+1)+1)+1)-FIND(",", Test!A151,FIND(",", Test!A151,FIND(",", Test!A151)+1)+1)-1), IF(Test!B151&lt;&gt;"",MID(Test!B151,FIND(",",Test!B151)+1,FIND(",",Test!B151,FIND(",",Test!B151)+1)-FIND(",",Test!B151)-1),IF(Test!A151&lt;&gt;"",MID(Test!A151,FIND(",",Test!A151,FIND(",",Test!A151)+1)+1,FIND(",",Test!A151,FIND(",",Test!A151,FIND(",",Test!A151)+1)+1)-FIND(",",Test!A151,FIND(",",Test!A151)+1)-1),"")))</f>
        <v/>
      </c>
      <c r="C151" t="str">
        <f>IF(ISNUMBER(FIND("Query",Test!A151)),RIGHT(Test!A151,LEN(Test!A151)-FIND(",",Test!A151,FIND(",",Test!A151,FIND(",",Test!A151,FIND(",",Test!A151)+1)+1)+1)),IF(Test!B151&lt;&gt;"",RIGHT(Test!B151,LEN(Test!B151)-FIND(",",Test!B151,FIND(",",Test!B151)+1)),IF(Test!A151&lt;&gt;"",MID(Test!A151,FIND(",",Test!A151,FIND(",",Test!A151,FIND(",",Test!A151)+1)+1)+1,LEN(Test!A151)-FIND(",",Test!A151,FIND(",",Test!A151,FIND(",",Test!A151)+1)+1)),""))) &amp; IF(Test!C151&lt;&gt;"", " " &amp; SUBSTITUTE(Test!C151,"-",""), "")</f>
        <v/>
      </c>
    </row>
    <row r="152" spans="1:3" x14ac:dyDescent="0.25">
      <c r="A152" t="str">
        <f>IF(Test!A152="", "", IF(ISNUMBER(FIND("Query",Test!A152)), "AS Query ZMMIMR91 , ZGRIR_ALV", IF(LEFT(Test!A152,1)="7", "AS " &amp; Test!A152, "AS " &amp; IF(Test!B152="",SUBSTITUTE(MID(Test!A152,FIND(",",Test!A152)+1,FIND(",",Test!A152,FIND(",",Test!A152)+1)-FIND(",",Test!A152)-1),"Cube ",""),LEFT(Test!B152,FIND(",",Test!B152)-1)))))</f>
        <v/>
      </c>
      <c r="B152" t="str">
        <f>IF(ISNUMBER(SEARCH("Query", Test!A152)), MID(Test!A152,FIND(",", Test!A152,FIND(",", Test!A152,FIND(",", Test!A152)+1)+1)+1, FIND(",", Test!A152,FIND(",", Test!A152,FIND(",", Test!A152,FIND(",", Test!A152)+1)+1)+1)-FIND(",", Test!A152,FIND(",", Test!A152,FIND(",", Test!A152)+1)+1)-1), IF(Test!B152&lt;&gt;"",MID(Test!B152,FIND(",",Test!B152)+1,FIND(",",Test!B152,FIND(",",Test!B152)+1)-FIND(",",Test!B152)-1),IF(Test!A152&lt;&gt;"",MID(Test!A152,FIND(",",Test!A152,FIND(",",Test!A152)+1)+1,FIND(",",Test!A152,FIND(",",Test!A152,FIND(",",Test!A152)+1)+1)-FIND(",",Test!A152,FIND(",",Test!A152)+1)-1),"")))</f>
        <v/>
      </c>
      <c r="C152" t="str">
        <f>IF(ISNUMBER(FIND("Query",Test!A152)),RIGHT(Test!A152,LEN(Test!A152)-FIND(",",Test!A152,FIND(",",Test!A152,FIND(",",Test!A152,FIND(",",Test!A152)+1)+1)+1)),IF(Test!B152&lt;&gt;"",RIGHT(Test!B152,LEN(Test!B152)-FIND(",",Test!B152,FIND(",",Test!B152)+1)),IF(Test!A152&lt;&gt;"",MID(Test!A152,FIND(",",Test!A152,FIND(",",Test!A152,FIND(",",Test!A152)+1)+1)+1,LEN(Test!A152)-FIND(",",Test!A152,FIND(",",Test!A152,FIND(",",Test!A152)+1)+1)),""))) &amp; IF(Test!C152&lt;&gt;"", " " &amp; SUBSTITUTE(Test!C152,"-",""), "")</f>
        <v/>
      </c>
    </row>
    <row r="153" spans="1:3" x14ac:dyDescent="0.25">
      <c r="A153" t="str">
        <f>IF(Test!A153="", "", IF(ISNUMBER(FIND("Query",Test!A153)), "AS Query ZMMIMR91 , ZGRIR_ALV", IF(LEFT(Test!A153,1)="7", "AS " &amp; Test!A153, "AS " &amp; IF(Test!B153="",SUBSTITUTE(MID(Test!A153,FIND(",",Test!A153)+1,FIND(",",Test!A153,FIND(",",Test!A153)+1)-FIND(",",Test!A153)-1),"Cube ",""),LEFT(Test!B153,FIND(",",Test!B153)-1)))))</f>
        <v/>
      </c>
      <c r="B153" t="str">
        <f>IF(ISNUMBER(SEARCH("Query", Test!A153)), MID(Test!A153,FIND(",", Test!A153,FIND(",", Test!A153,FIND(",", Test!A153)+1)+1)+1, FIND(",", Test!A153,FIND(",", Test!A153,FIND(",", Test!A153,FIND(",", Test!A153)+1)+1)+1)-FIND(",", Test!A153,FIND(",", Test!A153,FIND(",", Test!A153)+1)+1)-1), IF(Test!B153&lt;&gt;"",MID(Test!B153,FIND(",",Test!B153)+1,FIND(",",Test!B153,FIND(",",Test!B153)+1)-FIND(",",Test!B153)-1),IF(Test!A153&lt;&gt;"",MID(Test!A153,FIND(",",Test!A153,FIND(",",Test!A153)+1)+1,FIND(",",Test!A153,FIND(",",Test!A153,FIND(",",Test!A153)+1)+1)-FIND(",",Test!A153,FIND(",",Test!A153)+1)-1),"")))</f>
        <v/>
      </c>
      <c r="C153" t="str">
        <f>IF(ISNUMBER(FIND("Query",Test!A153)),RIGHT(Test!A153,LEN(Test!A153)-FIND(",",Test!A153,FIND(",",Test!A153,FIND(",",Test!A153,FIND(",",Test!A153)+1)+1)+1)),IF(Test!B153&lt;&gt;"",RIGHT(Test!B153,LEN(Test!B153)-FIND(",",Test!B153,FIND(",",Test!B153)+1)),IF(Test!A153&lt;&gt;"",MID(Test!A153,FIND(",",Test!A153,FIND(",",Test!A153,FIND(",",Test!A153)+1)+1)+1,LEN(Test!A153)-FIND(",",Test!A153,FIND(",",Test!A153,FIND(",",Test!A153)+1)+1)),""))) &amp; IF(Test!C153&lt;&gt;"", " " &amp; SUBSTITUTE(Test!C153,"-",""), "")</f>
        <v/>
      </c>
    </row>
    <row r="154" spans="1:3" x14ac:dyDescent="0.25">
      <c r="A154" t="str">
        <f>IF(Test!A154="", "", IF(ISNUMBER(FIND("Query",Test!A154)), "AS Query ZMMIMR91 , ZGRIR_ALV", IF(LEFT(Test!A154,1)="7", "AS " &amp; Test!A154, "AS " &amp; IF(Test!B154="",SUBSTITUTE(MID(Test!A154,FIND(",",Test!A154)+1,FIND(",",Test!A154,FIND(",",Test!A154)+1)-FIND(",",Test!A154)-1),"Cube ",""),LEFT(Test!B154,FIND(",",Test!B154)-1)))))</f>
        <v/>
      </c>
      <c r="B154" t="str">
        <f>IF(ISNUMBER(SEARCH("Query", Test!A154)), MID(Test!A154,FIND(",", Test!A154,FIND(",", Test!A154,FIND(",", Test!A154)+1)+1)+1, FIND(",", Test!A154,FIND(",", Test!A154,FIND(",", Test!A154,FIND(",", Test!A154)+1)+1)+1)-FIND(",", Test!A154,FIND(",", Test!A154,FIND(",", Test!A154)+1)+1)-1), IF(Test!B154&lt;&gt;"",MID(Test!B154,FIND(",",Test!B154)+1,FIND(",",Test!B154,FIND(",",Test!B154)+1)-FIND(",",Test!B154)-1),IF(Test!A154&lt;&gt;"",MID(Test!A154,FIND(",",Test!A154,FIND(",",Test!A154)+1)+1,FIND(",",Test!A154,FIND(",",Test!A154,FIND(",",Test!A154)+1)+1)-FIND(",",Test!A154,FIND(",",Test!A154)+1)-1),"")))</f>
        <v/>
      </c>
      <c r="C154" t="str">
        <f>IF(ISNUMBER(FIND("Query",Test!A154)),RIGHT(Test!A154,LEN(Test!A154)-FIND(",",Test!A154,FIND(",",Test!A154,FIND(",",Test!A154,FIND(",",Test!A154)+1)+1)+1)),IF(Test!B154&lt;&gt;"",RIGHT(Test!B154,LEN(Test!B154)-FIND(",",Test!B154,FIND(",",Test!B154)+1)),IF(Test!A154&lt;&gt;"",MID(Test!A154,FIND(",",Test!A154,FIND(",",Test!A154,FIND(",",Test!A154)+1)+1)+1,LEN(Test!A154)-FIND(",",Test!A154,FIND(",",Test!A154,FIND(",",Test!A154)+1)+1)),""))) &amp; IF(Test!C154&lt;&gt;"", " " &amp; SUBSTITUTE(Test!C154,"-",""), "")</f>
        <v/>
      </c>
    </row>
    <row r="155" spans="1:3" x14ac:dyDescent="0.25">
      <c r="A155" t="str">
        <f>IF(Test!A155="", "", IF(ISNUMBER(FIND("Query",Test!A155)), "AS Query ZMMIMR91 , ZGRIR_ALV", IF(LEFT(Test!A155,1)="7", "AS " &amp; Test!A155, "AS " &amp; IF(Test!B155="",SUBSTITUTE(MID(Test!A155,FIND(",",Test!A155)+1,FIND(",",Test!A155,FIND(",",Test!A155)+1)-FIND(",",Test!A155)-1),"Cube ",""),LEFT(Test!B155,FIND(",",Test!B155)-1)))))</f>
        <v/>
      </c>
      <c r="B155" t="str">
        <f>IF(ISNUMBER(SEARCH("Query", Test!A155)), MID(Test!A155,FIND(",", Test!A155,FIND(",", Test!A155,FIND(",", Test!A155)+1)+1)+1, FIND(",", Test!A155,FIND(",", Test!A155,FIND(",", Test!A155,FIND(",", Test!A155)+1)+1)+1)-FIND(",", Test!A155,FIND(",", Test!A155,FIND(",", Test!A155)+1)+1)-1), IF(Test!B155&lt;&gt;"",MID(Test!B155,FIND(",",Test!B155)+1,FIND(",",Test!B155,FIND(",",Test!B155)+1)-FIND(",",Test!B155)-1),IF(Test!A155&lt;&gt;"",MID(Test!A155,FIND(",",Test!A155,FIND(",",Test!A155)+1)+1,FIND(",",Test!A155,FIND(",",Test!A155,FIND(",",Test!A155)+1)+1)-FIND(",",Test!A155,FIND(",",Test!A155)+1)-1),"")))</f>
        <v/>
      </c>
      <c r="C155" t="str">
        <f>IF(ISNUMBER(FIND("Query",Test!A155)),RIGHT(Test!A155,LEN(Test!A155)-FIND(",",Test!A155,FIND(",",Test!A155,FIND(",",Test!A155,FIND(",",Test!A155)+1)+1)+1)),IF(Test!B155&lt;&gt;"",RIGHT(Test!B155,LEN(Test!B155)-FIND(",",Test!B155,FIND(",",Test!B155)+1)),IF(Test!A155&lt;&gt;"",MID(Test!A155,FIND(",",Test!A155,FIND(",",Test!A155,FIND(",",Test!A155)+1)+1)+1,LEN(Test!A155)-FIND(",",Test!A155,FIND(",",Test!A155,FIND(",",Test!A155)+1)+1)),""))) &amp; IF(Test!C155&lt;&gt;"", " " &amp; SUBSTITUTE(Test!C155,"-",""), "")</f>
        <v/>
      </c>
    </row>
    <row r="156" spans="1:3" x14ac:dyDescent="0.25">
      <c r="A156" t="str">
        <f>IF(Test!A156="", "", IF(ISNUMBER(FIND("Query",Test!A156)), "AS Query ZMMIMR91 , ZGRIR_ALV", IF(LEFT(Test!A156,1)="7", "AS " &amp; Test!A156, "AS " &amp; IF(Test!B156="",SUBSTITUTE(MID(Test!A156,FIND(",",Test!A156)+1,FIND(",",Test!A156,FIND(",",Test!A156)+1)-FIND(",",Test!A156)-1),"Cube ",""),LEFT(Test!B156,FIND(",",Test!B156)-1)))))</f>
        <v/>
      </c>
      <c r="B156" t="str">
        <f>IF(ISNUMBER(SEARCH("Query", Test!A156)), MID(Test!A156,FIND(",", Test!A156,FIND(",", Test!A156,FIND(",", Test!A156)+1)+1)+1, FIND(",", Test!A156,FIND(",", Test!A156,FIND(",", Test!A156,FIND(",", Test!A156)+1)+1)+1)-FIND(",", Test!A156,FIND(",", Test!A156,FIND(",", Test!A156)+1)+1)-1), IF(Test!B156&lt;&gt;"",MID(Test!B156,FIND(",",Test!B156)+1,FIND(",",Test!B156,FIND(",",Test!B156)+1)-FIND(",",Test!B156)-1),IF(Test!A156&lt;&gt;"",MID(Test!A156,FIND(",",Test!A156,FIND(",",Test!A156)+1)+1,FIND(",",Test!A156,FIND(",",Test!A156,FIND(",",Test!A156)+1)+1)-FIND(",",Test!A156,FIND(",",Test!A156)+1)-1),"")))</f>
        <v/>
      </c>
      <c r="C156" t="str">
        <f>IF(ISNUMBER(FIND("Query",Test!A156)),RIGHT(Test!A156,LEN(Test!A156)-FIND(",",Test!A156,FIND(",",Test!A156,FIND(",",Test!A156,FIND(",",Test!A156)+1)+1)+1)),IF(Test!B156&lt;&gt;"",RIGHT(Test!B156,LEN(Test!B156)-FIND(",",Test!B156,FIND(",",Test!B156)+1)),IF(Test!A156&lt;&gt;"",MID(Test!A156,FIND(",",Test!A156,FIND(",",Test!A156,FIND(",",Test!A156)+1)+1)+1,LEN(Test!A156)-FIND(",",Test!A156,FIND(",",Test!A156,FIND(",",Test!A156)+1)+1)),""))) &amp; IF(Test!C156&lt;&gt;"", " " &amp; SUBSTITUTE(Test!C156,"-",""), "")</f>
        <v/>
      </c>
    </row>
    <row r="157" spans="1:3" x14ac:dyDescent="0.25">
      <c r="A157" t="str">
        <f>IF(Test!A157="", "", IF(ISNUMBER(FIND("Query",Test!A157)), "AS Query ZMMIMR91 , ZGRIR_ALV", IF(LEFT(Test!A157,1)="7", "AS " &amp; Test!A157, "AS " &amp; IF(Test!B157="",SUBSTITUTE(MID(Test!A157,FIND(",",Test!A157)+1,FIND(",",Test!A157,FIND(",",Test!A157)+1)-FIND(",",Test!A157)-1),"Cube ",""),LEFT(Test!B157,FIND(",",Test!B157)-1)))))</f>
        <v/>
      </c>
      <c r="B157" t="str">
        <f>IF(ISNUMBER(SEARCH("Query", Test!A157)), MID(Test!A157,FIND(",", Test!A157,FIND(",", Test!A157,FIND(",", Test!A157)+1)+1)+1, FIND(",", Test!A157,FIND(",", Test!A157,FIND(",", Test!A157,FIND(",", Test!A157)+1)+1)+1)-FIND(",", Test!A157,FIND(",", Test!A157,FIND(",", Test!A157)+1)+1)-1), IF(Test!B157&lt;&gt;"",MID(Test!B157,FIND(",",Test!B157)+1,FIND(",",Test!B157,FIND(",",Test!B157)+1)-FIND(",",Test!B157)-1),IF(Test!A157&lt;&gt;"",MID(Test!A157,FIND(",",Test!A157,FIND(",",Test!A157)+1)+1,FIND(",",Test!A157,FIND(",",Test!A157,FIND(",",Test!A157)+1)+1)-FIND(",",Test!A157,FIND(",",Test!A157)+1)-1),"")))</f>
        <v/>
      </c>
      <c r="C157" t="str">
        <f>IF(ISNUMBER(FIND("Query",Test!A157)),RIGHT(Test!A157,LEN(Test!A157)-FIND(",",Test!A157,FIND(",",Test!A157,FIND(",",Test!A157,FIND(",",Test!A157)+1)+1)+1)),IF(Test!B157&lt;&gt;"",RIGHT(Test!B157,LEN(Test!B157)-FIND(",",Test!B157,FIND(",",Test!B157)+1)),IF(Test!A157&lt;&gt;"",MID(Test!A157,FIND(",",Test!A157,FIND(",",Test!A157,FIND(",",Test!A157)+1)+1)+1,LEN(Test!A157)-FIND(",",Test!A157,FIND(",",Test!A157,FIND(",",Test!A157)+1)+1)),""))) &amp; IF(Test!C157&lt;&gt;"", " " &amp; SUBSTITUTE(Test!C157,"-",""), "")</f>
        <v/>
      </c>
    </row>
    <row r="158" spans="1:3" x14ac:dyDescent="0.25">
      <c r="A158" t="str">
        <f>IF(Test!A158="", "", IF(ISNUMBER(FIND("Query",Test!A158)), "AS Query ZMMIMR91 , ZGRIR_ALV", IF(LEFT(Test!A158,1)="7", "AS " &amp; Test!A158, "AS " &amp; IF(Test!B158="",SUBSTITUTE(MID(Test!A158,FIND(",",Test!A158)+1,FIND(",",Test!A158,FIND(",",Test!A158)+1)-FIND(",",Test!A158)-1),"Cube ",""),LEFT(Test!B158,FIND(",",Test!B158)-1)))))</f>
        <v/>
      </c>
      <c r="B158" t="str">
        <f>IF(ISNUMBER(SEARCH("Query", Test!A158)), MID(Test!A158,FIND(",", Test!A158,FIND(",", Test!A158,FIND(",", Test!A158)+1)+1)+1, FIND(",", Test!A158,FIND(",", Test!A158,FIND(",", Test!A158,FIND(",", Test!A158)+1)+1)+1)-FIND(",", Test!A158,FIND(",", Test!A158,FIND(",", Test!A158)+1)+1)-1), IF(Test!B158&lt;&gt;"",MID(Test!B158,FIND(",",Test!B158)+1,FIND(",",Test!B158,FIND(",",Test!B158)+1)-FIND(",",Test!B158)-1),IF(Test!A158&lt;&gt;"",MID(Test!A158,FIND(",",Test!A158,FIND(",",Test!A158)+1)+1,FIND(",",Test!A158,FIND(",",Test!A158,FIND(",",Test!A158)+1)+1)-FIND(",",Test!A158,FIND(",",Test!A158)+1)-1),"")))</f>
        <v/>
      </c>
      <c r="C158" t="str">
        <f>IF(ISNUMBER(FIND("Query",Test!A158)),RIGHT(Test!A158,LEN(Test!A158)-FIND(",",Test!A158,FIND(",",Test!A158,FIND(",",Test!A158,FIND(",",Test!A158)+1)+1)+1)),IF(Test!B158&lt;&gt;"",RIGHT(Test!B158,LEN(Test!B158)-FIND(",",Test!B158,FIND(",",Test!B158)+1)),IF(Test!A158&lt;&gt;"",MID(Test!A158,FIND(",",Test!A158,FIND(",",Test!A158,FIND(",",Test!A158)+1)+1)+1,LEN(Test!A158)-FIND(",",Test!A158,FIND(",",Test!A158,FIND(",",Test!A158)+1)+1)),""))) &amp; IF(Test!C158&lt;&gt;"", " " &amp; SUBSTITUTE(Test!C158,"-",""), "")</f>
        <v/>
      </c>
    </row>
    <row r="159" spans="1:3" x14ac:dyDescent="0.25">
      <c r="A159" t="str">
        <f>IF(Test!A159="", "", IF(ISNUMBER(FIND("Query",Test!A159)), "AS Query ZMMIMR91 , ZGRIR_ALV", IF(LEFT(Test!A159,1)="7", "AS " &amp; Test!A159, "AS " &amp; IF(Test!B159="",SUBSTITUTE(MID(Test!A159,FIND(",",Test!A159)+1,FIND(",",Test!A159,FIND(",",Test!A159)+1)-FIND(",",Test!A159)-1),"Cube ",""),LEFT(Test!B159,FIND(",",Test!B159)-1)))))</f>
        <v/>
      </c>
      <c r="B159" t="str">
        <f>IF(ISNUMBER(SEARCH("Query", Test!A159)), MID(Test!A159,FIND(",", Test!A159,FIND(",", Test!A159,FIND(",", Test!A159)+1)+1)+1, FIND(",", Test!A159,FIND(",", Test!A159,FIND(",", Test!A159,FIND(",", Test!A159)+1)+1)+1)-FIND(",", Test!A159,FIND(",", Test!A159,FIND(",", Test!A159)+1)+1)-1), IF(Test!B159&lt;&gt;"",MID(Test!B159,FIND(",",Test!B159)+1,FIND(",",Test!B159,FIND(",",Test!B159)+1)-FIND(",",Test!B159)-1),IF(Test!A159&lt;&gt;"",MID(Test!A159,FIND(",",Test!A159,FIND(",",Test!A159)+1)+1,FIND(",",Test!A159,FIND(",",Test!A159,FIND(",",Test!A159)+1)+1)-FIND(",",Test!A159,FIND(",",Test!A159)+1)-1),"")))</f>
        <v/>
      </c>
      <c r="C159" t="str">
        <f>IF(ISNUMBER(FIND("Query",Test!A159)),RIGHT(Test!A159,LEN(Test!A159)-FIND(",",Test!A159,FIND(",",Test!A159,FIND(",",Test!A159,FIND(",",Test!A159)+1)+1)+1)),IF(Test!B159&lt;&gt;"",RIGHT(Test!B159,LEN(Test!B159)-FIND(",",Test!B159,FIND(",",Test!B159)+1)),IF(Test!A159&lt;&gt;"",MID(Test!A159,FIND(",",Test!A159,FIND(",",Test!A159,FIND(",",Test!A159)+1)+1)+1,LEN(Test!A159)-FIND(",",Test!A159,FIND(",",Test!A159,FIND(",",Test!A159)+1)+1)),""))) &amp; IF(Test!C159&lt;&gt;"", " " &amp; SUBSTITUTE(Test!C159,"-",""), "")</f>
        <v/>
      </c>
    </row>
    <row r="160" spans="1:3" x14ac:dyDescent="0.25">
      <c r="A160" t="str">
        <f>IF(Test!A160="", "", IF(ISNUMBER(FIND("Query",Test!A160)), "AS Query ZMMIMR91 , ZGRIR_ALV", IF(LEFT(Test!A160,1)="7", "AS " &amp; Test!A160, "AS " &amp; IF(Test!B160="",SUBSTITUTE(MID(Test!A160,FIND(",",Test!A160)+1,FIND(",",Test!A160,FIND(",",Test!A160)+1)-FIND(",",Test!A160)-1),"Cube ",""),LEFT(Test!B160,FIND(",",Test!B160)-1)))))</f>
        <v/>
      </c>
      <c r="B160" t="str">
        <f>IF(ISNUMBER(SEARCH("Query", Test!A160)), MID(Test!A160,FIND(",", Test!A160,FIND(",", Test!A160,FIND(",", Test!A160)+1)+1)+1, FIND(",", Test!A160,FIND(",", Test!A160,FIND(",", Test!A160,FIND(",", Test!A160)+1)+1)+1)-FIND(",", Test!A160,FIND(",", Test!A160,FIND(",", Test!A160)+1)+1)-1), IF(Test!B160&lt;&gt;"",MID(Test!B160,FIND(",",Test!B160)+1,FIND(",",Test!B160,FIND(",",Test!B160)+1)-FIND(",",Test!B160)-1),IF(Test!A160&lt;&gt;"",MID(Test!A160,FIND(",",Test!A160,FIND(",",Test!A160)+1)+1,FIND(",",Test!A160,FIND(",",Test!A160,FIND(",",Test!A160)+1)+1)-FIND(",",Test!A160,FIND(",",Test!A160)+1)-1),"")))</f>
        <v/>
      </c>
      <c r="C160" t="str">
        <f>IF(ISNUMBER(FIND("Query",Test!A160)),RIGHT(Test!A160,LEN(Test!A160)-FIND(",",Test!A160,FIND(",",Test!A160,FIND(",",Test!A160,FIND(",",Test!A160)+1)+1)+1)),IF(Test!B160&lt;&gt;"",RIGHT(Test!B160,LEN(Test!B160)-FIND(",",Test!B160,FIND(",",Test!B160)+1)),IF(Test!A160&lt;&gt;"",MID(Test!A160,FIND(",",Test!A160,FIND(",",Test!A160,FIND(",",Test!A160)+1)+1)+1,LEN(Test!A160)-FIND(",",Test!A160,FIND(",",Test!A160,FIND(",",Test!A160)+1)+1)),""))) &amp; IF(Test!C160&lt;&gt;"", " " &amp; SUBSTITUTE(Test!C160,"-",""), "")</f>
        <v/>
      </c>
    </row>
    <row r="161" spans="1:3" x14ac:dyDescent="0.25">
      <c r="A161" t="str">
        <f>IF(Test!A161="", "", IF(ISNUMBER(FIND("Query",Test!A161)), "AS Query ZMMIMR91 , ZGRIR_ALV", IF(LEFT(Test!A161,1)="7", "AS " &amp; Test!A161, "AS " &amp; IF(Test!B161="",SUBSTITUTE(MID(Test!A161,FIND(",",Test!A161)+1,FIND(",",Test!A161,FIND(",",Test!A161)+1)-FIND(",",Test!A161)-1),"Cube ",""),LEFT(Test!B161,FIND(",",Test!B161)-1)))))</f>
        <v/>
      </c>
      <c r="B161" t="str">
        <f>IF(ISNUMBER(SEARCH("Query", Test!A161)), MID(Test!A161,FIND(",", Test!A161,FIND(",", Test!A161,FIND(",", Test!A161)+1)+1)+1, FIND(",", Test!A161,FIND(",", Test!A161,FIND(",", Test!A161,FIND(",", Test!A161)+1)+1)+1)-FIND(",", Test!A161,FIND(",", Test!A161,FIND(",", Test!A161)+1)+1)-1), IF(Test!B161&lt;&gt;"",MID(Test!B161,FIND(",",Test!B161)+1,FIND(",",Test!B161,FIND(",",Test!B161)+1)-FIND(",",Test!B161)-1),IF(Test!A161&lt;&gt;"",MID(Test!A161,FIND(",",Test!A161,FIND(",",Test!A161)+1)+1,FIND(",",Test!A161,FIND(",",Test!A161,FIND(",",Test!A161)+1)+1)-FIND(",",Test!A161,FIND(",",Test!A161)+1)-1),"")))</f>
        <v/>
      </c>
      <c r="C161" t="str">
        <f>IF(ISNUMBER(FIND("Query",Test!A161)),RIGHT(Test!A161,LEN(Test!A161)-FIND(",",Test!A161,FIND(",",Test!A161,FIND(",",Test!A161,FIND(",",Test!A161)+1)+1)+1)),IF(Test!B161&lt;&gt;"",RIGHT(Test!B161,LEN(Test!B161)-FIND(",",Test!B161,FIND(",",Test!B161)+1)),IF(Test!A161&lt;&gt;"",MID(Test!A161,FIND(",",Test!A161,FIND(",",Test!A161,FIND(",",Test!A161)+1)+1)+1,LEN(Test!A161)-FIND(",",Test!A161,FIND(",",Test!A161,FIND(",",Test!A161)+1)+1)),""))) &amp; IF(Test!C161&lt;&gt;"", " " &amp; SUBSTITUTE(Test!C161,"-",""), "")</f>
        <v/>
      </c>
    </row>
    <row r="162" spans="1:3" x14ac:dyDescent="0.25">
      <c r="A162" t="str">
        <f>IF(Test!A162="", "", IF(ISNUMBER(FIND("Query",Test!A162)), "AS Query ZMMIMR91 , ZGRIR_ALV", IF(LEFT(Test!A162,1)="7", "AS " &amp; Test!A162, "AS " &amp; IF(Test!B162="",SUBSTITUTE(MID(Test!A162,FIND(",",Test!A162)+1,FIND(",",Test!A162,FIND(",",Test!A162)+1)-FIND(",",Test!A162)-1),"Cube ",""),LEFT(Test!B162,FIND(",",Test!B162)-1)))))</f>
        <v/>
      </c>
      <c r="B162" t="str">
        <f>IF(ISNUMBER(SEARCH("Query", Test!A162)), MID(Test!A162,FIND(",", Test!A162,FIND(",", Test!A162,FIND(",", Test!A162)+1)+1)+1, FIND(",", Test!A162,FIND(",", Test!A162,FIND(",", Test!A162,FIND(",", Test!A162)+1)+1)+1)-FIND(",", Test!A162,FIND(",", Test!A162,FIND(",", Test!A162)+1)+1)-1), IF(Test!B162&lt;&gt;"",MID(Test!B162,FIND(",",Test!B162)+1,FIND(",",Test!B162,FIND(",",Test!B162)+1)-FIND(",",Test!B162)-1),IF(Test!A162&lt;&gt;"",MID(Test!A162,FIND(",",Test!A162,FIND(",",Test!A162)+1)+1,FIND(",",Test!A162,FIND(",",Test!A162,FIND(",",Test!A162)+1)+1)-FIND(",",Test!A162,FIND(",",Test!A162)+1)-1),"")))</f>
        <v/>
      </c>
      <c r="C162" t="str">
        <f>IF(ISNUMBER(FIND("Query",Test!A162)),RIGHT(Test!A162,LEN(Test!A162)-FIND(",",Test!A162,FIND(",",Test!A162,FIND(",",Test!A162,FIND(",",Test!A162)+1)+1)+1)),IF(Test!B162&lt;&gt;"",RIGHT(Test!B162,LEN(Test!B162)-FIND(",",Test!B162,FIND(",",Test!B162)+1)),IF(Test!A162&lt;&gt;"",MID(Test!A162,FIND(",",Test!A162,FIND(",",Test!A162,FIND(",",Test!A162)+1)+1)+1,LEN(Test!A162)-FIND(",",Test!A162,FIND(",",Test!A162,FIND(",",Test!A162)+1)+1)),""))) &amp; IF(Test!C162&lt;&gt;"", " " &amp; SUBSTITUTE(Test!C162,"-",""), "")</f>
        <v/>
      </c>
    </row>
    <row r="163" spans="1:3" x14ac:dyDescent="0.25">
      <c r="A163" t="str">
        <f>IF(Test!A163="", "", IF(ISNUMBER(FIND("Query",Test!A163)), "AS Query ZMMIMR91 , ZGRIR_ALV", IF(LEFT(Test!A163,1)="7", "AS " &amp; Test!A163, "AS " &amp; IF(Test!B163="",SUBSTITUTE(MID(Test!A163,FIND(",",Test!A163)+1,FIND(",",Test!A163,FIND(",",Test!A163)+1)-FIND(",",Test!A163)-1),"Cube ",""),LEFT(Test!B163,FIND(",",Test!B163)-1)))))</f>
        <v/>
      </c>
      <c r="B163" t="str">
        <f>IF(ISNUMBER(SEARCH("Query", Test!A163)), MID(Test!A163,FIND(",", Test!A163,FIND(",", Test!A163,FIND(",", Test!A163)+1)+1)+1, FIND(",", Test!A163,FIND(",", Test!A163,FIND(",", Test!A163,FIND(",", Test!A163)+1)+1)+1)-FIND(",", Test!A163,FIND(",", Test!A163,FIND(",", Test!A163)+1)+1)-1), IF(Test!B163&lt;&gt;"",MID(Test!B163,FIND(",",Test!B163)+1,FIND(",",Test!B163,FIND(",",Test!B163)+1)-FIND(",",Test!B163)-1),IF(Test!A163&lt;&gt;"",MID(Test!A163,FIND(",",Test!A163,FIND(",",Test!A163)+1)+1,FIND(",",Test!A163,FIND(",",Test!A163,FIND(",",Test!A163)+1)+1)-FIND(",",Test!A163,FIND(",",Test!A163)+1)-1),"")))</f>
        <v/>
      </c>
      <c r="C163" t="str">
        <f>IF(ISNUMBER(FIND("Query",Test!A163)),RIGHT(Test!A163,LEN(Test!A163)-FIND(",",Test!A163,FIND(",",Test!A163,FIND(",",Test!A163,FIND(",",Test!A163)+1)+1)+1)),IF(Test!B163&lt;&gt;"",RIGHT(Test!B163,LEN(Test!B163)-FIND(",",Test!B163,FIND(",",Test!B163)+1)),IF(Test!A163&lt;&gt;"",MID(Test!A163,FIND(",",Test!A163,FIND(",",Test!A163,FIND(",",Test!A163)+1)+1)+1,LEN(Test!A163)-FIND(",",Test!A163,FIND(",",Test!A163,FIND(",",Test!A163)+1)+1)),""))) &amp; IF(Test!C163&lt;&gt;"", " " &amp; SUBSTITUTE(Test!C163,"-",""), "")</f>
        <v/>
      </c>
    </row>
    <row r="164" spans="1:3" x14ac:dyDescent="0.25">
      <c r="A164" t="str">
        <f>IF(Test!A164="", "", IF(ISNUMBER(FIND("Query",Test!A164)), "AS Query ZMMIMR91 , ZGRIR_ALV", IF(LEFT(Test!A164,1)="7", "AS " &amp; Test!A164, "AS " &amp; IF(Test!B164="",SUBSTITUTE(MID(Test!A164,FIND(",",Test!A164)+1,FIND(",",Test!A164,FIND(",",Test!A164)+1)-FIND(",",Test!A164)-1),"Cube ",""),LEFT(Test!B164,FIND(",",Test!B164)-1)))))</f>
        <v/>
      </c>
      <c r="B164" t="str">
        <f>IF(ISNUMBER(SEARCH("Query", Test!A164)), MID(Test!A164,FIND(",", Test!A164,FIND(",", Test!A164,FIND(",", Test!A164)+1)+1)+1, FIND(",", Test!A164,FIND(",", Test!A164,FIND(",", Test!A164,FIND(",", Test!A164)+1)+1)+1)-FIND(",", Test!A164,FIND(",", Test!A164,FIND(",", Test!A164)+1)+1)-1), IF(Test!B164&lt;&gt;"",MID(Test!B164,FIND(",",Test!B164)+1,FIND(",",Test!B164,FIND(",",Test!B164)+1)-FIND(",",Test!B164)-1),IF(Test!A164&lt;&gt;"",MID(Test!A164,FIND(",",Test!A164,FIND(",",Test!A164)+1)+1,FIND(",",Test!A164,FIND(",",Test!A164,FIND(",",Test!A164)+1)+1)-FIND(",",Test!A164,FIND(",",Test!A164)+1)-1),"")))</f>
        <v/>
      </c>
      <c r="C164" t="str">
        <f>IF(ISNUMBER(FIND("Query",Test!A164)),RIGHT(Test!A164,LEN(Test!A164)-FIND(",",Test!A164,FIND(",",Test!A164,FIND(",",Test!A164,FIND(",",Test!A164)+1)+1)+1)),IF(Test!B164&lt;&gt;"",RIGHT(Test!B164,LEN(Test!B164)-FIND(",",Test!B164,FIND(",",Test!B164)+1)),IF(Test!A164&lt;&gt;"",MID(Test!A164,FIND(",",Test!A164,FIND(",",Test!A164,FIND(",",Test!A164)+1)+1)+1,LEN(Test!A164)-FIND(",",Test!A164,FIND(",",Test!A164,FIND(",",Test!A164)+1)+1)),""))) &amp; IF(Test!C164&lt;&gt;"", " " &amp; SUBSTITUTE(Test!C164,"-",""), "")</f>
        <v/>
      </c>
    </row>
    <row r="165" spans="1:3" x14ac:dyDescent="0.25">
      <c r="A165" t="str">
        <f>IF(Test!A165="", "", IF(ISNUMBER(FIND("Query",Test!A165)), "AS Query ZMMIMR91 , ZGRIR_ALV", IF(LEFT(Test!A165,1)="7", "AS " &amp; Test!A165, "AS " &amp; IF(Test!B165="",SUBSTITUTE(MID(Test!A165,FIND(",",Test!A165)+1,FIND(",",Test!A165,FIND(",",Test!A165)+1)-FIND(",",Test!A165)-1),"Cube ",""),LEFT(Test!B165,FIND(",",Test!B165)-1)))))</f>
        <v/>
      </c>
      <c r="B165" t="str">
        <f>IF(ISNUMBER(SEARCH("Query", Test!A165)), MID(Test!A165,FIND(",", Test!A165,FIND(",", Test!A165,FIND(",", Test!A165)+1)+1)+1, FIND(",", Test!A165,FIND(",", Test!A165,FIND(",", Test!A165,FIND(",", Test!A165)+1)+1)+1)-FIND(",", Test!A165,FIND(",", Test!A165,FIND(",", Test!A165)+1)+1)-1), IF(Test!B165&lt;&gt;"",MID(Test!B165,FIND(",",Test!B165)+1,FIND(",",Test!B165,FIND(",",Test!B165)+1)-FIND(",",Test!B165)-1),IF(Test!A165&lt;&gt;"",MID(Test!A165,FIND(",",Test!A165,FIND(",",Test!A165)+1)+1,FIND(",",Test!A165,FIND(",",Test!A165,FIND(",",Test!A165)+1)+1)-FIND(",",Test!A165,FIND(",",Test!A165)+1)-1),"")))</f>
        <v/>
      </c>
      <c r="C165" t="str">
        <f>IF(ISNUMBER(FIND("Query",Test!A165)),RIGHT(Test!A165,LEN(Test!A165)-FIND(",",Test!A165,FIND(",",Test!A165,FIND(",",Test!A165,FIND(",",Test!A165)+1)+1)+1)),IF(Test!B165&lt;&gt;"",RIGHT(Test!B165,LEN(Test!B165)-FIND(",",Test!B165,FIND(",",Test!B165)+1)),IF(Test!A165&lt;&gt;"",MID(Test!A165,FIND(",",Test!A165,FIND(",",Test!A165,FIND(",",Test!A165)+1)+1)+1,LEN(Test!A165)-FIND(",",Test!A165,FIND(",",Test!A165,FIND(",",Test!A165)+1)+1)),""))) &amp; IF(Test!C165&lt;&gt;"", " " &amp; SUBSTITUTE(Test!C165,"-",""), "")</f>
        <v/>
      </c>
    </row>
    <row r="166" spans="1:3" x14ac:dyDescent="0.25">
      <c r="A166" t="str">
        <f>IF(Test!A166="", "", IF(ISNUMBER(FIND("Query",Test!A166)), "AS Query ZMMIMR91 , ZGRIR_ALV", IF(LEFT(Test!A166,1)="7", "AS " &amp; Test!A166, "AS " &amp; IF(Test!B166="",SUBSTITUTE(MID(Test!A166,FIND(",",Test!A166)+1,FIND(",",Test!A166,FIND(",",Test!A166)+1)-FIND(",",Test!A166)-1),"Cube ",""),LEFT(Test!B166,FIND(",",Test!B166)-1)))))</f>
        <v/>
      </c>
      <c r="B166" t="str">
        <f>IF(ISNUMBER(SEARCH("Query", Test!A166)), MID(Test!A166,FIND(",", Test!A166,FIND(",", Test!A166,FIND(",", Test!A166)+1)+1)+1, FIND(",", Test!A166,FIND(",", Test!A166,FIND(",", Test!A166,FIND(",", Test!A166)+1)+1)+1)-FIND(",", Test!A166,FIND(",", Test!A166,FIND(",", Test!A166)+1)+1)-1), IF(Test!B166&lt;&gt;"",MID(Test!B166,FIND(",",Test!B166)+1,FIND(",",Test!B166,FIND(",",Test!B166)+1)-FIND(",",Test!B166)-1),IF(Test!A166&lt;&gt;"",MID(Test!A166,FIND(",",Test!A166,FIND(",",Test!A166)+1)+1,FIND(",",Test!A166,FIND(",",Test!A166,FIND(",",Test!A166)+1)+1)-FIND(",",Test!A166,FIND(",",Test!A166)+1)-1),"")))</f>
        <v/>
      </c>
      <c r="C166" t="str">
        <f>IF(ISNUMBER(FIND("Query",Test!A166)),RIGHT(Test!A166,LEN(Test!A166)-FIND(",",Test!A166,FIND(",",Test!A166,FIND(",",Test!A166,FIND(",",Test!A166)+1)+1)+1)),IF(Test!B166&lt;&gt;"",RIGHT(Test!B166,LEN(Test!B166)-FIND(",",Test!B166,FIND(",",Test!B166)+1)),IF(Test!A166&lt;&gt;"",MID(Test!A166,FIND(",",Test!A166,FIND(",",Test!A166,FIND(",",Test!A166)+1)+1)+1,LEN(Test!A166)-FIND(",",Test!A166,FIND(",",Test!A166,FIND(",",Test!A166)+1)+1)),""))) &amp; IF(Test!C166&lt;&gt;"", " " &amp; SUBSTITUTE(Test!C166,"-",""), "")</f>
        <v/>
      </c>
    </row>
    <row r="167" spans="1:3" x14ac:dyDescent="0.25">
      <c r="A167" t="str">
        <f>IF(Test!A167="", "", IF(ISNUMBER(FIND("Query",Test!A167)), "AS Query ZMMIMR91 , ZGRIR_ALV", IF(LEFT(Test!A167,1)="7", "AS " &amp; Test!A167, "AS " &amp; IF(Test!B167="",SUBSTITUTE(MID(Test!A167,FIND(",",Test!A167)+1,FIND(",",Test!A167,FIND(",",Test!A167)+1)-FIND(",",Test!A167)-1),"Cube ",""),LEFT(Test!B167,FIND(",",Test!B167)-1)))))</f>
        <v/>
      </c>
      <c r="B167" t="str">
        <f>IF(ISNUMBER(SEARCH("Query", Test!A167)), MID(Test!A167,FIND(",", Test!A167,FIND(",", Test!A167,FIND(",", Test!A167)+1)+1)+1, FIND(",", Test!A167,FIND(",", Test!A167,FIND(",", Test!A167,FIND(",", Test!A167)+1)+1)+1)-FIND(",", Test!A167,FIND(",", Test!A167,FIND(",", Test!A167)+1)+1)-1), IF(Test!B167&lt;&gt;"",MID(Test!B167,FIND(",",Test!B167)+1,FIND(",",Test!B167,FIND(",",Test!B167)+1)-FIND(",",Test!B167)-1),IF(Test!A167&lt;&gt;"",MID(Test!A167,FIND(",",Test!A167,FIND(",",Test!A167)+1)+1,FIND(",",Test!A167,FIND(",",Test!A167,FIND(",",Test!A167)+1)+1)-FIND(",",Test!A167,FIND(",",Test!A167)+1)-1),"")))</f>
        <v/>
      </c>
      <c r="C167" t="str">
        <f>IF(ISNUMBER(FIND("Query",Test!A167)),RIGHT(Test!A167,LEN(Test!A167)-FIND(",",Test!A167,FIND(",",Test!A167,FIND(",",Test!A167,FIND(",",Test!A167)+1)+1)+1)),IF(Test!B167&lt;&gt;"",RIGHT(Test!B167,LEN(Test!B167)-FIND(",",Test!B167,FIND(",",Test!B167)+1)),IF(Test!A167&lt;&gt;"",MID(Test!A167,FIND(",",Test!A167,FIND(",",Test!A167,FIND(",",Test!A167)+1)+1)+1,LEN(Test!A167)-FIND(",",Test!A167,FIND(",",Test!A167,FIND(",",Test!A167)+1)+1)),""))) &amp; IF(Test!C167&lt;&gt;"", " " &amp; SUBSTITUTE(Test!C167,"-",""), "")</f>
        <v/>
      </c>
    </row>
    <row r="168" spans="1:3" x14ac:dyDescent="0.25">
      <c r="A168" t="str">
        <f>IF(Test!A168="", "", IF(ISNUMBER(FIND("Query",Test!A168)), "AS Query ZMMIMR91 , ZGRIR_ALV", IF(LEFT(Test!A168,1)="7", "AS " &amp; Test!A168, "AS " &amp; IF(Test!B168="",SUBSTITUTE(MID(Test!A168,FIND(",",Test!A168)+1,FIND(",",Test!A168,FIND(",",Test!A168)+1)-FIND(",",Test!A168)-1),"Cube ",""),LEFT(Test!B168,FIND(",",Test!B168)-1)))))</f>
        <v/>
      </c>
      <c r="B168" t="str">
        <f>IF(ISNUMBER(SEARCH("Query", Test!A168)), MID(Test!A168,FIND(",", Test!A168,FIND(",", Test!A168,FIND(",", Test!A168)+1)+1)+1, FIND(",", Test!A168,FIND(",", Test!A168,FIND(",", Test!A168,FIND(",", Test!A168)+1)+1)+1)-FIND(",", Test!A168,FIND(",", Test!A168,FIND(",", Test!A168)+1)+1)-1), IF(Test!B168&lt;&gt;"",MID(Test!B168,FIND(",",Test!B168)+1,FIND(",",Test!B168,FIND(",",Test!B168)+1)-FIND(",",Test!B168)-1),IF(Test!A168&lt;&gt;"",MID(Test!A168,FIND(",",Test!A168,FIND(",",Test!A168)+1)+1,FIND(",",Test!A168,FIND(",",Test!A168,FIND(",",Test!A168)+1)+1)-FIND(",",Test!A168,FIND(",",Test!A168)+1)-1),"")))</f>
        <v/>
      </c>
      <c r="C168" t="str">
        <f>IF(ISNUMBER(FIND("Query",Test!A168)),RIGHT(Test!A168,LEN(Test!A168)-FIND(",",Test!A168,FIND(",",Test!A168,FIND(",",Test!A168,FIND(",",Test!A168)+1)+1)+1)),IF(Test!B168&lt;&gt;"",RIGHT(Test!B168,LEN(Test!B168)-FIND(",",Test!B168,FIND(",",Test!B168)+1)),IF(Test!A168&lt;&gt;"",MID(Test!A168,FIND(",",Test!A168,FIND(",",Test!A168,FIND(",",Test!A168)+1)+1)+1,LEN(Test!A168)-FIND(",",Test!A168,FIND(",",Test!A168,FIND(",",Test!A168)+1)+1)),""))) &amp; IF(Test!C168&lt;&gt;"", " " &amp; SUBSTITUTE(Test!C168,"-",""), "")</f>
        <v/>
      </c>
    </row>
    <row r="169" spans="1:3" x14ac:dyDescent="0.25">
      <c r="A169" t="str">
        <f>IF(Test!A169="", "", IF(ISNUMBER(FIND("Query",Test!A169)), "AS Query ZMMIMR91 , ZGRIR_ALV", IF(LEFT(Test!A169,1)="7", "AS " &amp; Test!A169, "AS " &amp; IF(Test!B169="",SUBSTITUTE(MID(Test!A169,FIND(",",Test!A169)+1,FIND(",",Test!A169,FIND(",",Test!A169)+1)-FIND(",",Test!A169)-1),"Cube ",""),LEFT(Test!B169,FIND(",",Test!B169)-1)))))</f>
        <v/>
      </c>
      <c r="B169" t="str">
        <f>IF(ISNUMBER(SEARCH("Query", Test!A169)), MID(Test!A169,FIND(",", Test!A169,FIND(",", Test!A169,FIND(",", Test!A169)+1)+1)+1, FIND(",", Test!A169,FIND(",", Test!A169,FIND(",", Test!A169,FIND(",", Test!A169)+1)+1)+1)-FIND(",", Test!A169,FIND(",", Test!A169,FIND(",", Test!A169)+1)+1)-1), IF(Test!B169&lt;&gt;"",MID(Test!B169,FIND(",",Test!B169)+1,FIND(",",Test!B169,FIND(",",Test!B169)+1)-FIND(",",Test!B169)-1),IF(Test!A169&lt;&gt;"",MID(Test!A169,FIND(",",Test!A169,FIND(",",Test!A169)+1)+1,FIND(",",Test!A169,FIND(",",Test!A169,FIND(",",Test!A169)+1)+1)-FIND(",",Test!A169,FIND(",",Test!A169)+1)-1),"")))</f>
        <v/>
      </c>
      <c r="C169" t="str">
        <f>IF(ISNUMBER(FIND("Query",Test!A169)),RIGHT(Test!A169,LEN(Test!A169)-FIND(",",Test!A169,FIND(",",Test!A169,FIND(",",Test!A169,FIND(",",Test!A169)+1)+1)+1)),IF(Test!B169&lt;&gt;"",RIGHT(Test!B169,LEN(Test!B169)-FIND(",",Test!B169,FIND(",",Test!B169)+1)),IF(Test!A169&lt;&gt;"",MID(Test!A169,FIND(",",Test!A169,FIND(",",Test!A169,FIND(",",Test!A169)+1)+1)+1,LEN(Test!A169)-FIND(",",Test!A169,FIND(",",Test!A169,FIND(",",Test!A169)+1)+1)),""))) &amp; IF(Test!C169&lt;&gt;"", " " &amp; SUBSTITUTE(Test!C169,"-",""), "")</f>
        <v/>
      </c>
    </row>
    <row r="170" spans="1:3" x14ac:dyDescent="0.25">
      <c r="A170" t="str">
        <f>IF(Test!A170="", "", IF(ISNUMBER(FIND("Query",Test!A170)), "AS Query ZMMIMR91 , ZGRIR_ALV", IF(LEFT(Test!A170,1)="7", "AS " &amp; Test!A170, "AS " &amp; IF(Test!B170="",SUBSTITUTE(MID(Test!A170,FIND(",",Test!A170)+1,FIND(",",Test!A170,FIND(",",Test!A170)+1)-FIND(",",Test!A170)-1),"Cube ",""),LEFT(Test!B170,FIND(",",Test!B170)-1)))))</f>
        <v/>
      </c>
      <c r="B170" t="str">
        <f>IF(ISNUMBER(SEARCH("Query", Test!A170)), MID(Test!A170,FIND(",", Test!A170,FIND(",", Test!A170,FIND(",", Test!A170)+1)+1)+1, FIND(",", Test!A170,FIND(",", Test!A170,FIND(",", Test!A170,FIND(",", Test!A170)+1)+1)+1)-FIND(",", Test!A170,FIND(",", Test!A170,FIND(",", Test!A170)+1)+1)-1), IF(Test!B170&lt;&gt;"",MID(Test!B170,FIND(",",Test!B170)+1,FIND(",",Test!B170,FIND(",",Test!B170)+1)-FIND(",",Test!B170)-1),IF(Test!A170&lt;&gt;"",MID(Test!A170,FIND(",",Test!A170,FIND(",",Test!A170)+1)+1,FIND(",",Test!A170,FIND(",",Test!A170,FIND(",",Test!A170)+1)+1)-FIND(",",Test!A170,FIND(",",Test!A170)+1)-1),"")))</f>
        <v/>
      </c>
      <c r="C170" t="str">
        <f>IF(ISNUMBER(FIND("Query",Test!A170)),RIGHT(Test!A170,LEN(Test!A170)-FIND(",",Test!A170,FIND(",",Test!A170,FIND(",",Test!A170,FIND(",",Test!A170)+1)+1)+1)),IF(Test!B170&lt;&gt;"",RIGHT(Test!B170,LEN(Test!B170)-FIND(",",Test!B170,FIND(",",Test!B170)+1)),IF(Test!A170&lt;&gt;"",MID(Test!A170,FIND(",",Test!A170,FIND(",",Test!A170,FIND(",",Test!A170)+1)+1)+1,LEN(Test!A170)-FIND(",",Test!A170,FIND(",",Test!A170,FIND(",",Test!A170)+1)+1)),""))) &amp; IF(Test!C170&lt;&gt;"", " " &amp; SUBSTITUTE(Test!C170,"-",""), "")</f>
        <v/>
      </c>
    </row>
    <row r="171" spans="1:3" x14ac:dyDescent="0.25">
      <c r="A171" t="str">
        <f>IF(Test!A171="", "", IF(ISNUMBER(FIND("Query",Test!A171)), "AS Query ZMMIMR91 , ZGRIR_ALV", IF(LEFT(Test!A171,1)="7", "AS " &amp; Test!A171, "AS " &amp; IF(Test!B171="",SUBSTITUTE(MID(Test!A171,FIND(",",Test!A171)+1,FIND(",",Test!A171,FIND(",",Test!A171)+1)-FIND(",",Test!A171)-1),"Cube ",""),LEFT(Test!B171,FIND(",",Test!B171)-1)))))</f>
        <v/>
      </c>
      <c r="B171" t="str">
        <f>IF(ISNUMBER(SEARCH("Query", Test!A171)), MID(Test!A171,FIND(",", Test!A171,FIND(",", Test!A171,FIND(",", Test!A171)+1)+1)+1, FIND(",", Test!A171,FIND(",", Test!A171,FIND(",", Test!A171,FIND(",", Test!A171)+1)+1)+1)-FIND(",", Test!A171,FIND(",", Test!A171,FIND(",", Test!A171)+1)+1)-1), IF(Test!B171&lt;&gt;"",MID(Test!B171,FIND(",",Test!B171)+1,FIND(",",Test!B171,FIND(",",Test!B171)+1)-FIND(",",Test!B171)-1),IF(Test!A171&lt;&gt;"",MID(Test!A171,FIND(",",Test!A171,FIND(",",Test!A171)+1)+1,FIND(",",Test!A171,FIND(",",Test!A171,FIND(",",Test!A171)+1)+1)-FIND(",",Test!A171,FIND(",",Test!A171)+1)-1),"")))</f>
        <v/>
      </c>
      <c r="C171" t="str">
        <f>IF(ISNUMBER(FIND("Query",Test!A171)),RIGHT(Test!A171,LEN(Test!A171)-FIND(",",Test!A171,FIND(",",Test!A171,FIND(",",Test!A171,FIND(",",Test!A171)+1)+1)+1)),IF(Test!B171&lt;&gt;"",RIGHT(Test!B171,LEN(Test!B171)-FIND(",",Test!B171,FIND(",",Test!B171)+1)),IF(Test!A171&lt;&gt;"",MID(Test!A171,FIND(",",Test!A171,FIND(",",Test!A171,FIND(",",Test!A171)+1)+1)+1,LEN(Test!A171)-FIND(",",Test!A171,FIND(",",Test!A171,FIND(",",Test!A171)+1)+1)),""))) &amp; IF(Test!C171&lt;&gt;"", " " &amp; SUBSTITUTE(Test!C171,"-",""), "")</f>
        <v/>
      </c>
    </row>
    <row r="172" spans="1:3" x14ac:dyDescent="0.25">
      <c r="A172" t="str">
        <f>IF(Test!A172="", "", IF(ISNUMBER(FIND("Query",Test!A172)), "AS Query ZMMIMR91 , ZGRIR_ALV", IF(LEFT(Test!A172,1)="7", "AS " &amp; Test!A172, "AS " &amp; IF(Test!B172="",SUBSTITUTE(MID(Test!A172,FIND(",",Test!A172)+1,FIND(",",Test!A172,FIND(",",Test!A172)+1)-FIND(",",Test!A172)-1),"Cube ",""),LEFT(Test!B172,FIND(",",Test!B172)-1)))))</f>
        <v/>
      </c>
      <c r="B172" t="str">
        <f>IF(ISNUMBER(SEARCH("Query", Test!A172)), MID(Test!A172,FIND(",", Test!A172,FIND(",", Test!A172,FIND(",", Test!A172)+1)+1)+1, FIND(",", Test!A172,FIND(",", Test!A172,FIND(",", Test!A172,FIND(",", Test!A172)+1)+1)+1)-FIND(",", Test!A172,FIND(",", Test!A172,FIND(",", Test!A172)+1)+1)-1), IF(Test!B172&lt;&gt;"",MID(Test!B172,FIND(",",Test!B172)+1,FIND(",",Test!B172,FIND(",",Test!B172)+1)-FIND(",",Test!B172)-1),IF(Test!A172&lt;&gt;"",MID(Test!A172,FIND(",",Test!A172,FIND(",",Test!A172)+1)+1,FIND(",",Test!A172,FIND(",",Test!A172,FIND(",",Test!A172)+1)+1)-FIND(",",Test!A172,FIND(",",Test!A172)+1)-1),"")))</f>
        <v/>
      </c>
      <c r="C172" t="str">
        <f>IF(ISNUMBER(FIND("Query",Test!A172)),RIGHT(Test!A172,LEN(Test!A172)-FIND(",",Test!A172,FIND(",",Test!A172,FIND(",",Test!A172,FIND(",",Test!A172)+1)+1)+1)),IF(Test!B172&lt;&gt;"",RIGHT(Test!B172,LEN(Test!B172)-FIND(",",Test!B172,FIND(",",Test!B172)+1)),IF(Test!A172&lt;&gt;"",MID(Test!A172,FIND(",",Test!A172,FIND(",",Test!A172,FIND(",",Test!A172)+1)+1)+1,LEN(Test!A172)-FIND(",",Test!A172,FIND(",",Test!A172,FIND(",",Test!A172)+1)+1)),""))) &amp; IF(Test!C172&lt;&gt;"", " " &amp; SUBSTITUTE(Test!C172,"-",""), "")</f>
        <v/>
      </c>
    </row>
    <row r="173" spans="1:3" x14ac:dyDescent="0.25">
      <c r="A173" t="str">
        <f>IF(Test!A173="", "", IF(ISNUMBER(FIND("Query",Test!A173)), "AS Query ZMMIMR91 , ZGRIR_ALV", IF(LEFT(Test!A173,1)="7", "AS " &amp; Test!A173, "AS " &amp; IF(Test!B173="",SUBSTITUTE(MID(Test!A173,FIND(",",Test!A173)+1,FIND(",",Test!A173,FIND(",",Test!A173)+1)-FIND(",",Test!A173)-1),"Cube ",""),LEFT(Test!B173,FIND(",",Test!B173)-1)))))</f>
        <v/>
      </c>
      <c r="B173" t="str">
        <f>IF(ISNUMBER(SEARCH("Query", Test!A173)), MID(Test!A173,FIND(",", Test!A173,FIND(",", Test!A173,FIND(",", Test!A173)+1)+1)+1, FIND(",", Test!A173,FIND(",", Test!A173,FIND(",", Test!A173,FIND(",", Test!A173)+1)+1)+1)-FIND(",", Test!A173,FIND(",", Test!A173,FIND(",", Test!A173)+1)+1)-1), IF(Test!B173&lt;&gt;"",MID(Test!B173,FIND(",",Test!B173)+1,FIND(",",Test!B173,FIND(",",Test!B173)+1)-FIND(",",Test!B173)-1),IF(Test!A173&lt;&gt;"",MID(Test!A173,FIND(",",Test!A173,FIND(",",Test!A173)+1)+1,FIND(",",Test!A173,FIND(",",Test!A173,FIND(",",Test!A173)+1)+1)-FIND(",",Test!A173,FIND(",",Test!A173)+1)-1),"")))</f>
        <v/>
      </c>
      <c r="C173" t="str">
        <f>IF(ISNUMBER(FIND("Query",Test!A173)),RIGHT(Test!A173,LEN(Test!A173)-FIND(",",Test!A173,FIND(",",Test!A173,FIND(",",Test!A173,FIND(",",Test!A173)+1)+1)+1)),IF(Test!B173&lt;&gt;"",RIGHT(Test!B173,LEN(Test!B173)-FIND(",",Test!B173,FIND(",",Test!B173)+1)),IF(Test!A173&lt;&gt;"",MID(Test!A173,FIND(",",Test!A173,FIND(",",Test!A173,FIND(",",Test!A173)+1)+1)+1,LEN(Test!A173)-FIND(",",Test!A173,FIND(",",Test!A173,FIND(",",Test!A173)+1)+1)),""))) &amp; IF(Test!C173&lt;&gt;"", " " &amp; SUBSTITUTE(Test!C173,"-",""), "")</f>
        <v/>
      </c>
    </row>
    <row r="174" spans="1:3" x14ac:dyDescent="0.25">
      <c r="A174" t="str">
        <f>IF(Test!A174="", "", IF(ISNUMBER(FIND("Query",Test!A174)), "AS Query ZMMIMR91 , ZGRIR_ALV", IF(LEFT(Test!A174,1)="7", "AS " &amp; Test!A174, "AS " &amp; IF(Test!B174="",SUBSTITUTE(MID(Test!A174,FIND(",",Test!A174)+1,FIND(",",Test!A174,FIND(",",Test!A174)+1)-FIND(",",Test!A174)-1),"Cube ",""),LEFT(Test!B174,FIND(",",Test!B174)-1)))))</f>
        <v/>
      </c>
      <c r="B174" t="str">
        <f>IF(ISNUMBER(SEARCH("Query", Test!A174)), MID(Test!A174,FIND(",", Test!A174,FIND(",", Test!A174,FIND(",", Test!A174)+1)+1)+1, FIND(",", Test!A174,FIND(",", Test!A174,FIND(",", Test!A174,FIND(",", Test!A174)+1)+1)+1)-FIND(",", Test!A174,FIND(",", Test!A174,FIND(",", Test!A174)+1)+1)-1), IF(Test!B174&lt;&gt;"",MID(Test!B174,FIND(",",Test!B174)+1,FIND(",",Test!B174,FIND(",",Test!B174)+1)-FIND(",",Test!B174)-1),IF(Test!A174&lt;&gt;"",MID(Test!A174,FIND(",",Test!A174,FIND(",",Test!A174)+1)+1,FIND(",",Test!A174,FIND(",",Test!A174,FIND(",",Test!A174)+1)+1)-FIND(",",Test!A174,FIND(",",Test!A174)+1)-1),"")))</f>
        <v/>
      </c>
      <c r="C174" t="str">
        <f>IF(ISNUMBER(FIND("Query",Test!A174)),RIGHT(Test!A174,LEN(Test!A174)-FIND(",",Test!A174,FIND(",",Test!A174,FIND(",",Test!A174,FIND(",",Test!A174)+1)+1)+1)),IF(Test!B174&lt;&gt;"",RIGHT(Test!B174,LEN(Test!B174)-FIND(",",Test!B174,FIND(",",Test!B174)+1)),IF(Test!A174&lt;&gt;"",MID(Test!A174,FIND(",",Test!A174,FIND(",",Test!A174,FIND(",",Test!A174)+1)+1)+1,LEN(Test!A174)-FIND(",",Test!A174,FIND(",",Test!A174,FIND(",",Test!A174)+1)+1)),""))) &amp; IF(Test!C174&lt;&gt;"", " " &amp; SUBSTITUTE(Test!C174,"-",""), "")</f>
        <v/>
      </c>
    </row>
    <row r="175" spans="1:3" x14ac:dyDescent="0.25">
      <c r="A175" t="str">
        <f>IF(Test!A175="", "", IF(ISNUMBER(FIND("Query",Test!A175)), "AS Query ZMMIMR91 , ZGRIR_ALV", IF(LEFT(Test!A175,1)="7", "AS " &amp; Test!A175, "AS " &amp; IF(Test!B175="",SUBSTITUTE(MID(Test!A175,FIND(",",Test!A175)+1,FIND(",",Test!A175,FIND(",",Test!A175)+1)-FIND(",",Test!A175)-1),"Cube ",""),LEFT(Test!B175,FIND(",",Test!B175)-1)))))</f>
        <v/>
      </c>
      <c r="B175" t="str">
        <f>IF(ISNUMBER(SEARCH("Query", Test!A175)), MID(Test!A175,FIND(",", Test!A175,FIND(",", Test!A175,FIND(",", Test!A175)+1)+1)+1, FIND(",", Test!A175,FIND(",", Test!A175,FIND(",", Test!A175,FIND(",", Test!A175)+1)+1)+1)-FIND(",", Test!A175,FIND(",", Test!A175,FIND(",", Test!A175)+1)+1)-1), IF(Test!B175&lt;&gt;"",MID(Test!B175,FIND(",",Test!B175)+1,FIND(",",Test!B175,FIND(",",Test!B175)+1)-FIND(",",Test!B175)-1),IF(Test!A175&lt;&gt;"",MID(Test!A175,FIND(",",Test!A175,FIND(",",Test!A175)+1)+1,FIND(",",Test!A175,FIND(",",Test!A175,FIND(",",Test!A175)+1)+1)-FIND(",",Test!A175,FIND(",",Test!A175)+1)-1),"")))</f>
        <v/>
      </c>
      <c r="C175" t="str">
        <f>IF(ISNUMBER(FIND("Query",Test!A175)),RIGHT(Test!A175,LEN(Test!A175)-FIND(",",Test!A175,FIND(",",Test!A175,FIND(",",Test!A175,FIND(",",Test!A175)+1)+1)+1)),IF(Test!B175&lt;&gt;"",RIGHT(Test!B175,LEN(Test!B175)-FIND(",",Test!B175,FIND(",",Test!B175)+1)),IF(Test!A175&lt;&gt;"",MID(Test!A175,FIND(",",Test!A175,FIND(",",Test!A175,FIND(",",Test!A175)+1)+1)+1,LEN(Test!A175)-FIND(",",Test!A175,FIND(",",Test!A175,FIND(",",Test!A175)+1)+1)),""))) &amp; IF(Test!C175&lt;&gt;"", " " &amp; SUBSTITUTE(Test!C175,"-",""), "")</f>
        <v/>
      </c>
    </row>
    <row r="176" spans="1:3" x14ac:dyDescent="0.25">
      <c r="A176" t="str">
        <f>IF(Test!A176="", "", IF(ISNUMBER(FIND("Query",Test!A176)), "AS Query ZMMIMR91 , ZGRIR_ALV", IF(LEFT(Test!A176,1)="7", "AS " &amp; Test!A176, "AS " &amp; IF(Test!B176="",SUBSTITUTE(MID(Test!A176,FIND(",",Test!A176)+1,FIND(",",Test!A176,FIND(",",Test!A176)+1)-FIND(",",Test!A176)-1),"Cube ",""),LEFT(Test!B176,FIND(",",Test!B176)-1)))))</f>
        <v/>
      </c>
      <c r="B176" t="str">
        <f>IF(ISNUMBER(SEARCH("Query", Test!A176)), MID(Test!A176,FIND(",", Test!A176,FIND(",", Test!A176,FIND(",", Test!A176)+1)+1)+1, FIND(",", Test!A176,FIND(",", Test!A176,FIND(",", Test!A176,FIND(",", Test!A176)+1)+1)+1)-FIND(",", Test!A176,FIND(",", Test!A176,FIND(",", Test!A176)+1)+1)-1), IF(Test!B176&lt;&gt;"",MID(Test!B176,FIND(",",Test!B176)+1,FIND(",",Test!B176,FIND(",",Test!B176)+1)-FIND(",",Test!B176)-1),IF(Test!A176&lt;&gt;"",MID(Test!A176,FIND(",",Test!A176,FIND(",",Test!A176)+1)+1,FIND(",",Test!A176,FIND(",",Test!A176,FIND(",",Test!A176)+1)+1)-FIND(",",Test!A176,FIND(",",Test!A176)+1)-1),"")))</f>
        <v/>
      </c>
      <c r="C176" t="str">
        <f>IF(ISNUMBER(FIND("Query",Test!A176)),RIGHT(Test!A176,LEN(Test!A176)-FIND(",",Test!A176,FIND(",",Test!A176,FIND(",",Test!A176,FIND(",",Test!A176)+1)+1)+1)),IF(Test!B176&lt;&gt;"",RIGHT(Test!B176,LEN(Test!B176)-FIND(",",Test!B176,FIND(",",Test!B176)+1)),IF(Test!A176&lt;&gt;"",MID(Test!A176,FIND(",",Test!A176,FIND(",",Test!A176,FIND(",",Test!A176)+1)+1)+1,LEN(Test!A176)-FIND(",",Test!A176,FIND(",",Test!A176,FIND(",",Test!A176)+1)+1)),""))) &amp; IF(Test!C176&lt;&gt;"", " " &amp; SUBSTITUTE(Test!C176,"-",""), "")</f>
        <v/>
      </c>
    </row>
    <row r="177" spans="1:3" x14ac:dyDescent="0.25">
      <c r="A177" t="str">
        <f>IF(Test!A177="", "", IF(ISNUMBER(FIND("Query",Test!A177)), "AS Query ZMMIMR91 , ZGRIR_ALV", IF(LEFT(Test!A177,1)="7", "AS " &amp; Test!A177, "AS " &amp; IF(Test!B177="",SUBSTITUTE(MID(Test!A177,FIND(",",Test!A177)+1,FIND(",",Test!A177,FIND(",",Test!A177)+1)-FIND(",",Test!A177)-1),"Cube ",""),LEFT(Test!B177,FIND(",",Test!B177)-1)))))</f>
        <v/>
      </c>
      <c r="B177" t="str">
        <f>IF(ISNUMBER(SEARCH("Query", Test!A177)), MID(Test!A177,FIND(",", Test!A177,FIND(",", Test!A177,FIND(",", Test!A177)+1)+1)+1, FIND(",", Test!A177,FIND(",", Test!A177,FIND(",", Test!A177,FIND(",", Test!A177)+1)+1)+1)-FIND(",", Test!A177,FIND(",", Test!A177,FIND(",", Test!A177)+1)+1)-1), IF(Test!B177&lt;&gt;"",MID(Test!B177,FIND(",",Test!B177)+1,FIND(",",Test!B177,FIND(",",Test!B177)+1)-FIND(",",Test!B177)-1),IF(Test!A177&lt;&gt;"",MID(Test!A177,FIND(",",Test!A177,FIND(",",Test!A177)+1)+1,FIND(",",Test!A177,FIND(",",Test!A177,FIND(",",Test!A177)+1)+1)-FIND(",",Test!A177,FIND(",",Test!A177)+1)-1),"")))</f>
        <v/>
      </c>
      <c r="C177" t="str">
        <f>IF(ISNUMBER(FIND("Query",Test!A177)),RIGHT(Test!A177,LEN(Test!A177)-FIND(",",Test!A177,FIND(",",Test!A177,FIND(",",Test!A177,FIND(",",Test!A177)+1)+1)+1)),IF(Test!B177&lt;&gt;"",RIGHT(Test!B177,LEN(Test!B177)-FIND(",",Test!B177,FIND(",",Test!B177)+1)),IF(Test!A177&lt;&gt;"",MID(Test!A177,FIND(",",Test!A177,FIND(",",Test!A177,FIND(",",Test!A177)+1)+1)+1,LEN(Test!A177)-FIND(",",Test!A177,FIND(",",Test!A177,FIND(",",Test!A177)+1)+1)),""))) &amp; IF(Test!C177&lt;&gt;"", " " &amp; SUBSTITUTE(Test!C177,"-",""), "")</f>
        <v/>
      </c>
    </row>
    <row r="178" spans="1:3" x14ac:dyDescent="0.25">
      <c r="A178" t="str">
        <f>IF(Test!A178="", "", IF(ISNUMBER(FIND("Query",Test!A178)), "AS Query ZMMIMR91 , ZGRIR_ALV", IF(LEFT(Test!A178,1)="7", "AS " &amp; Test!A178, "AS " &amp; IF(Test!B178="",SUBSTITUTE(MID(Test!A178,FIND(",",Test!A178)+1,FIND(",",Test!A178,FIND(",",Test!A178)+1)-FIND(",",Test!A178)-1),"Cube ",""),LEFT(Test!B178,FIND(",",Test!B178)-1)))))</f>
        <v/>
      </c>
      <c r="B178" t="str">
        <f>IF(ISNUMBER(SEARCH("Query", Test!A178)), MID(Test!A178,FIND(",", Test!A178,FIND(",", Test!A178,FIND(",", Test!A178)+1)+1)+1, FIND(",", Test!A178,FIND(",", Test!A178,FIND(",", Test!A178,FIND(",", Test!A178)+1)+1)+1)-FIND(",", Test!A178,FIND(",", Test!A178,FIND(",", Test!A178)+1)+1)-1), IF(Test!B178&lt;&gt;"",MID(Test!B178,FIND(",",Test!B178)+1,FIND(",",Test!B178,FIND(",",Test!B178)+1)-FIND(",",Test!B178)-1),IF(Test!A178&lt;&gt;"",MID(Test!A178,FIND(",",Test!A178,FIND(",",Test!A178)+1)+1,FIND(",",Test!A178,FIND(",",Test!A178,FIND(",",Test!A178)+1)+1)-FIND(",",Test!A178,FIND(",",Test!A178)+1)-1),"")))</f>
        <v/>
      </c>
      <c r="C178" t="str">
        <f>IF(ISNUMBER(FIND("Query",Test!A178)),RIGHT(Test!A178,LEN(Test!A178)-FIND(",",Test!A178,FIND(",",Test!A178,FIND(",",Test!A178,FIND(",",Test!A178)+1)+1)+1)),IF(Test!B178&lt;&gt;"",RIGHT(Test!B178,LEN(Test!B178)-FIND(",",Test!B178,FIND(",",Test!B178)+1)),IF(Test!A178&lt;&gt;"",MID(Test!A178,FIND(",",Test!A178,FIND(",",Test!A178,FIND(",",Test!A178)+1)+1)+1,LEN(Test!A178)-FIND(",",Test!A178,FIND(",",Test!A178,FIND(",",Test!A178)+1)+1)),""))) &amp; IF(Test!C178&lt;&gt;"", " " &amp; SUBSTITUTE(Test!C178,"-",""), "")</f>
        <v/>
      </c>
    </row>
    <row r="179" spans="1:3" x14ac:dyDescent="0.25">
      <c r="A179" t="str">
        <f>IF(Test!A179="", "", IF(ISNUMBER(FIND("Query",Test!A179)), "AS Query ZMMIMR91 , ZGRIR_ALV", IF(LEFT(Test!A179,1)="7", "AS " &amp; Test!A179, "AS " &amp; IF(Test!B179="",SUBSTITUTE(MID(Test!A179,FIND(",",Test!A179)+1,FIND(",",Test!A179,FIND(",",Test!A179)+1)-FIND(",",Test!A179)-1),"Cube ",""),LEFT(Test!B179,FIND(",",Test!B179)-1)))))</f>
        <v/>
      </c>
      <c r="B179" t="str">
        <f>IF(ISNUMBER(SEARCH("Query", Test!A179)), MID(Test!A179,FIND(",", Test!A179,FIND(",", Test!A179,FIND(",", Test!A179)+1)+1)+1, FIND(",", Test!A179,FIND(",", Test!A179,FIND(",", Test!A179,FIND(",", Test!A179)+1)+1)+1)-FIND(",", Test!A179,FIND(",", Test!A179,FIND(",", Test!A179)+1)+1)-1), IF(Test!B179&lt;&gt;"",MID(Test!B179,FIND(",",Test!B179)+1,FIND(",",Test!B179,FIND(",",Test!B179)+1)-FIND(",",Test!B179)-1),IF(Test!A179&lt;&gt;"",MID(Test!A179,FIND(",",Test!A179,FIND(",",Test!A179)+1)+1,FIND(",",Test!A179,FIND(",",Test!A179,FIND(",",Test!A179)+1)+1)-FIND(",",Test!A179,FIND(",",Test!A179)+1)-1),"")))</f>
        <v/>
      </c>
      <c r="C179" t="str">
        <f>IF(ISNUMBER(FIND("Query",Test!A179)),RIGHT(Test!A179,LEN(Test!A179)-FIND(",",Test!A179,FIND(",",Test!A179,FIND(",",Test!A179,FIND(",",Test!A179)+1)+1)+1)),IF(Test!B179&lt;&gt;"",RIGHT(Test!B179,LEN(Test!B179)-FIND(",",Test!B179,FIND(",",Test!B179)+1)),IF(Test!A179&lt;&gt;"",MID(Test!A179,FIND(",",Test!A179,FIND(",",Test!A179,FIND(",",Test!A179)+1)+1)+1,LEN(Test!A179)-FIND(",",Test!A179,FIND(",",Test!A179,FIND(",",Test!A179)+1)+1)),""))) &amp; IF(Test!C179&lt;&gt;"", " " &amp; SUBSTITUTE(Test!C179,"-",""), "")</f>
        <v/>
      </c>
    </row>
    <row r="180" spans="1:3" x14ac:dyDescent="0.25">
      <c r="A180" t="str">
        <f>IF(Test!A180="", "", IF(ISNUMBER(FIND("Query",Test!A180)), "AS Query ZMMIMR91 , ZGRIR_ALV", IF(LEFT(Test!A180,1)="7", "AS " &amp; Test!A180, "AS " &amp; IF(Test!B180="",SUBSTITUTE(MID(Test!A180,FIND(",",Test!A180)+1,FIND(",",Test!A180,FIND(",",Test!A180)+1)-FIND(",",Test!A180)-1),"Cube ",""),LEFT(Test!B180,FIND(",",Test!B180)-1)))))</f>
        <v/>
      </c>
      <c r="B180" t="str">
        <f>IF(ISNUMBER(SEARCH("Query", Test!A180)), MID(Test!A180,FIND(",", Test!A180,FIND(",", Test!A180,FIND(",", Test!A180)+1)+1)+1, FIND(",", Test!A180,FIND(",", Test!A180,FIND(",", Test!A180,FIND(",", Test!A180)+1)+1)+1)-FIND(",", Test!A180,FIND(",", Test!A180,FIND(",", Test!A180)+1)+1)-1), IF(Test!B180&lt;&gt;"",MID(Test!B180,FIND(",",Test!B180)+1,FIND(",",Test!B180,FIND(",",Test!B180)+1)-FIND(",",Test!B180)-1),IF(Test!A180&lt;&gt;"",MID(Test!A180,FIND(",",Test!A180,FIND(",",Test!A180)+1)+1,FIND(",",Test!A180,FIND(",",Test!A180,FIND(",",Test!A180)+1)+1)-FIND(",",Test!A180,FIND(",",Test!A180)+1)-1),"")))</f>
        <v/>
      </c>
      <c r="C180" t="str">
        <f>IF(ISNUMBER(FIND("Query",Test!A180)),RIGHT(Test!A180,LEN(Test!A180)-FIND(",",Test!A180,FIND(",",Test!A180,FIND(",",Test!A180,FIND(",",Test!A180)+1)+1)+1)),IF(Test!B180&lt;&gt;"",RIGHT(Test!B180,LEN(Test!B180)-FIND(",",Test!B180,FIND(",",Test!B180)+1)),IF(Test!A180&lt;&gt;"",MID(Test!A180,FIND(",",Test!A180,FIND(",",Test!A180,FIND(",",Test!A180)+1)+1)+1,LEN(Test!A180)-FIND(",",Test!A180,FIND(",",Test!A180,FIND(",",Test!A180)+1)+1)),""))) &amp; IF(Test!C180&lt;&gt;"", " " &amp; SUBSTITUTE(Test!C180,"-",""), "")</f>
        <v/>
      </c>
    </row>
    <row r="181" spans="1:3" x14ac:dyDescent="0.25">
      <c r="A181" t="str">
        <f>IF(Test!A181="", "", IF(ISNUMBER(FIND("Query",Test!A181)), "AS Query ZMMIMR91 , ZGRIR_ALV", IF(LEFT(Test!A181,1)="7", "AS " &amp; Test!A181, "AS " &amp; IF(Test!B181="",SUBSTITUTE(MID(Test!A181,FIND(",",Test!A181)+1,FIND(",",Test!A181,FIND(",",Test!A181)+1)-FIND(",",Test!A181)-1),"Cube ",""),LEFT(Test!B181,FIND(",",Test!B181)-1)))))</f>
        <v/>
      </c>
      <c r="B181" t="str">
        <f>IF(ISNUMBER(SEARCH("Query", Test!A181)), MID(Test!A181,FIND(",", Test!A181,FIND(",", Test!A181,FIND(",", Test!A181)+1)+1)+1, FIND(",", Test!A181,FIND(",", Test!A181,FIND(",", Test!A181,FIND(",", Test!A181)+1)+1)+1)-FIND(",", Test!A181,FIND(",", Test!A181,FIND(",", Test!A181)+1)+1)-1), IF(Test!B181&lt;&gt;"",MID(Test!B181,FIND(",",Test!B181)+1,FIND(",",Test!B181,FIND(",",Test!B181)+1)-FIND(",",Test!B181)-1),IF(Test!A181&lt;&gt;"",MID(Test!A181,FIND(",",Test!A181,FIND(",",Test!A181)+1)+1,FIND(",",Test!A181,FIND(",",Test!A181,FIND(",",Test!A181)+1)+1)-FIND(",",Test!A181,FIND(",",Test!A181)+1)-1),"")))</f>
        <v/>
      </c>
      <c r="C181" t="str">
        <f>IF(ISNUMBER(FIND("Query",Test!A181)),RIGHT(Test!A181,LEN(Test!A181)-FIND(",",Test!A181,FIND(",",Test!A181,FIND(",",Test!A181,FIND(",",Test!A181)+1)+1)+1)),IF(Test!B181&lt;&gt;"",RIGHT(Test!B181,LEN(Test!B181)-FIND(",",Test!B181,FIND(",",Test!B181)+1)),IF(Test!A181&lt;&gt;"",MID(Test!A181,FIND(",",Test!A181,FIND(",",Test!A181,FIND(",",Test!A181)+1)+1)+1,LEN(Test!A181)-FIND(",",Test!A181,FIND(",",Test!A181,FIND(",",Test!A181)+1)+1)),""))) &amp; IF(Test!C181&lt;&gt;"", " " &amp; SUBSTITUTE(Test!C181,"-",""), "")</f>
        <v/>
      </c>
    </row>
    <row r="182" spans="1:3" x14ac:dyDescent="0.25">
      <c r="A182" t="str">
        <f>IF(Test!A182="", "", IF(ISNUMBER(FIND("Query",Test!A182)), "AS Query ZMMIMR91 , ZGRIR_ALV", IF(LEFT(Test!A182,1)="7", "AS " &amp; Test!A182, "AS " &amp; IF(Test!B182="",SUBSTITUTE(MID(Test!A182,FIND(",",Test!A182)+1,FIND(",",Test!A182,FIND(",",Test!A182)+1)-FIND(",",Test!A182)-1),"Cube ",""),LEFT(Test!B182,FIND(",",Test!B182)-1)))))</f>
        <v/>
      </c>
      <c r="B182" t="str">
        <f>IF(ISNUMBER(SEARCH("Query", Test!A182)), MID(Test!A182,FIND(",", Test!A182,FIND(",", Test!A182,FIND(",", Test!A182)+1)+1)+1, FIND(",", Test!A182,FIND(",", Test!A182,FIND(",", Test!A182,FIND(",", Test!A182)+1)+1)+1)-FIND(",", Test!A182,FIND(",", Test!A182,FIND(",", Test!A182)+1)+1)-1), IF(Test!B182&lt;&gt;"",MID(Test!B182,FIND(",",Test!B182)+1,FIND(",",Test!B182,FIND(",",Test!B182)+1)-FIND(",",Test!B182)-1),IF(Test!A182&lt;&gt;"",MID(Test!A182,FIND(",",Test!A182,FIND(",",Test!A182)+1)+1,FIND(",",Test!A182,FIND(",",Test!A182,FIND(",",Test!A182)+1)+1)-FIND(",",Test!A182,FIND(",",Test!A182)+1)-1),"")))</f>
        <v/>
      </c>
      <c r="C182" t="str">
        <f>IF(ISNUMBER(FIND("Query",Test!A182)),RIGHT(Test!A182,LEN(Test!A182)-FIND(",",Test!A182,FIND(",",Test!A182,FIND(",",Test!A182,FIND(",",Test!A182)+1)+1)+1)),IF(Test!B182&lt;&gt;"",RIGHT(Test!B182,LEN(Test!B182)-FIND(",",Test!B182,FIND(",",Test!B182)+1)),IF(Test!A182&lt;&gt;"",MID(Test!A182,FIND(",",Test!A182,FIND(",",Test!A182,FIND(",",Test!A182)+1)+1)+1,LEN(Test!A182)-FIND(",",Test!A182,FIND(",",Test!A182,FIND(",",Test!A182)+1)+1)),""))) &amp; IF(Test!C182&lt;&gt;"", " " &amp; SUBSTITUTE(Test!C182,"-",""), "")</f>
        <v/>
      </c>
    </row>
    <row r="183" spans="1:3" x14ac:dyDescent="0.25">
      <c r="A183" t="str">
        <f>IF(Test!A183="", "", IF(ISNUMBER(FIND("Query",Test!A183)), "AS Query ZMMIMR91 , ZGRIR_ALV", IF(LEFT(Test!A183,1)="7", "AS " &amp; Test!A183, "AS " &amp; IF(Test!B183="",SUBSTITUTE(MID(Test!A183,FIND(",",Test!A183)+1,FIND(",",Test!A183,FIND(",",Test!A183)+1)-FIND(",",Test!A183)-1),"Cube ",""),LEFT(Test!B183,FIND(",",Test!B183)-1)))))</f>
        <v/>
      </c>
      <c r="B183" t="str">
        <f>IF(ISNUMBER(SEARCH("Query", Test!A183)), MID(Test!A183,FIND(",", Test!A183,FIND(",", Test!A183,FIND(",", Test!A183)+1)+1)+1, FIND(",", Test!A183,FIND(",", Test!A183,FIND(",", Test!A183,FIND(",", Test!A183)+1)+1)+1)-FIND(",", Test!A183,FIND(",", Test!A183,FIND(",", Test!A183)+1)+1)-1), IF(Test!B183&lt;&gt;"",MID(Test!B183,FIND(",",Test!B183)+1,FIND(",",Test!B183,FIND(",",Test!B183)+1)-FIND(",",Test!B183)-1),IF(Test!A183&lt;&gt;"",MID(Test!A183,FIND(",",Test!A183,FIND(",",Test!A183)+1)+1,FIND(",",Test!A183,FIND(",",Test!A183,FIND(",",Test!A183)+1)+1)-FIND(",",Test!A183,FIND(",",Test!A183)+1)-1),"")))</f>
        <v/>
      </c>
      <c r="C183" t="str">
        <f>IF(ISNUMBER(FIND("Query",Test!A183)),RIGHT(Test!A183,LEN(Test!A183)-FIND(",",Test!A183,FIND(",",Test!A183,FIND(",",Test!A183,FIND(",",Test!A183)+1)+1)+1)),IF(Test!B183&lt;&gt;"",RIGHT(Test!B183,LEN(Test!B183)-FIND(",",Test!B183,FIND(",",Test!B183)+1)),IF(Test!A183&lt;&gt;"",MID(Test!A183,FIND(",",Test!A183,FIND(",",Test!A183,FIND(",",Test!A183)+1)+1)+1,LEN(Test!A183)-FIND(",",Test!A183,FIND(",",Test!A183,FIND(",",Test!A183)+1)+1)),""))) &amp; IF(Test!C183&lt;&gt;"", " " &amp; SUBSTITUTE(Test!C183,"-",""), "")</f>
        <v/>
      </c>
    </row>
    <row r="184" spans="1:3" x14ac:dyDescent="0.25">
      <c r="A184" t="str">
        <f>IF(Test!A184="", "", IF(ISNUMBER(FIND("Query",Test!A184)), "AS Query ZMMIMR91 , ZGRIR_ALV", IF(LEFT(Test!A184,1)="7", "AS " &amp; Test!A184, "AS " &amp; IF(Test!B184="",SUBSTITUTE(MID(Test!A184,FIND(",",Test!A184)+1,FIND(",",Test!A184,FIND(",",Test!A184)+1)-FIND(",",Test!A184)-1),"Cube ",""),LEFT(Test!B184,FIND(",",Test!B184)-1)))))</f>
        <v/>
      </c>
      <c r="B184" t="str">
        <f>IF(ISNUMBER(SEARCH("Query", Test!A184)), MID(Test!A184,FIND(",", Test!A184,FIND(",", Test!A184,FIND(",", Test!A184)+1)+1)+1, FIND(",", Test!A184,FIND(",", Test!A184,FIND(",", Test!A184,FIND(",", Test!A184)+1)+1)+1)-FIND(",", Test!A184,FIND(",", Test!A184,FIND(",", Test!A184)+1)+1)-1), IF(Test!B184&lt;&gt;"",MID(Test!B184,FIND(",",Test!B184)+1,FIND(",",Test!B184,FIND(",",Test!B184)+1)-FIND(",",Test!B184)-1),IF(Test!A184&lt;&gt;"",MID(Test!A184,FIND(",",Test!A184,FIND(",",Test!A184)+1)+1,FIND(",",Test!A184,FIND(",",Test!A184,FIND(",",Test!A184)+1)+1)-FIND(",",Test!A184,FIND(",",Test!A184)+1)-1),"")))</f>
        <v/>
      </c>
      <c r="C184" t="str">
        <f>IF(ISNUMBER(FIND("Query",Test!A184)),RIGHT(Test!A184,LEN(Test!A184)-FIND(",",Test!A184,FIND(",",Test!A184,FIND(",",Test!A184,FIND(",",Test!A184)+1)+1)+1)),IF(Test!B184&lt;&gt;"",RIGHT(Test!B184,LEN(Test!B184)-FIND(",",Test!B184,FIND(",",Test!B184)+1)),IF(Test!A184&lt;&gt;"",MID(Test!A184,FIND(",",Test!A184,FIND(",",Test!A184,FIND(",",Test!A184)+1)+1)+1,LEN(Test!A184)-FIND(",",Test!A184,FIND(",",Test!A184,FIND(",",Test!A184)+1)+1)),""))) &amp; IF(Test!C184&lt;&gt;"", " " &amp; SUBSTITUTE(Test!C184,"-",""), "")</f>
        <v/>
      </c>
    </row>
    <row r="185" spans="1:3" x14ac:dyDescent="0.25">
      <c r="A185" t="str">
        <f>IF(Test!A185="", "", IF(ISNUMBER(FIND("Query",Test!A185)), "AS Query ZMMIMR91 , ZGRIR_ALV", IF(LEFT(Test!A185,1)="7", "AS " &amp; Test!A185, "AS " &amp; IF(Test!B185="",SUBSTITUTE(MID(Test!A185,FIND(",",Test!A185)+1,FIND(",",Test!A185,FIND(",",Test!A185)+1)-FIND(",",Test!A185)-1),"Cube ",""),LEFT(Test!B185,FIND(",",Test!B185)-1)))))</f>
        <v/>
      </c>
      <c r="B185" t="str">
        <f>IF(ISNUMBER(SEARCH("Query", Test!A185)), MID(Test!A185,FIND(",", Test!A185,FIND(",", Test!A185,FIND(",", Test!A185)+1)+1)+1, FIND(",", Test!A185,FIND(",", Test!A185,FIND(",", Test!A185,FIND(",", Test!A185)+1)+1)+1)-FIND(",", Test!A185,FIND(",", Test!A185,FIND(",", Test!A185)+1)+1)-1), IF(Test!B185&lt;&gt;"",MID(Test!B185,FIND(",",Test!B185)+1,FIND(",",Test!B185,FIND(",",Test!B185)+1)-FIND(",",Test!B185)-1),IF(Test!A185&lt;&gt;"",MID(Test!A185,FIND(",",Test!A185,FIND(",",Test!A185)+1)+1,FIND(",",Test!A185,FIND(",",Test!A185,FIND(",",Test!A185)+1)+1)-FIND(",",Test!A185,FIND(",",Test!A185)+1)-1),"")))</f>
        <v/>
      </c>
      <c r="C185" t="str">
        <f>IF(ISNUMBER(FIND("Query",Test!A185)),RIGHT(Test!A185,LEN(Test!A185)-FIND(",",Test!A185,FIND(",",Test!A185,FIND(",",Test!A185,FIND(",",Test!A185)+1)+1)+1)),IF(Test!B185&lt;&gt;"",RIGHT(Test!B185,LEN(Test!B185)-FIND(",",Test!B185,FIND(",",Test!B185)+1)),IF(Test!A185&lt;&gt;"",MID(Test!A185,FIND(",",Test!A185,FIND(",",Test!A185,FIND(",",Test!A185)+1)+1)+1,LEN(Test!A185)-FIND(",",Test!A185,FIND(",",Test!A185,FIND(",",Test!A185)+1)+1)),""))) &amp; IF(Test!C185&lt;&gt;"", " " &amp; SUBSTITUTE(Test!C185,"-",""), "")</f>
        <v/>
      </c>
    </row>
    <row r="186" spans="1:3" x14ac:dyDescent="0.25">
      <c r="A186" t="str">
        <f>IF(Test!A186="", "", IF(ISNUMBER(FIND("Query",Test!A186)), "AS Query ZMMIMR91 , ZGRIR_ALV", IF(LEFT(Test!A186,1)="7", "AS " &amp; Test!A186, "AS " &amp; IF(Test!B186="",SUBSTITUTE(MID(Test!A186,FIND(",",Test!A186)+1,FIND(",",Test!A186,FIND(",",Test!A186)+1)-FIND(",",Test!A186)-1),"Cube ",""),LEFT(Test!B186,FIND(",",Test!B186)-1)))))</f>
        <v/>
      </c>
      <c r="B186" t="str">
        <f>IF(ISNUMBER(SEARCH("Query", Test!A186)), MID(Test!A186,FIND(",", Test!A186,FIND(",", Test!A186,FIND(",", Test!A186)+1)+1)+1, FIND(",", Test!A186,FIND(",", Test!A186,FIND(",", Test!A186,FIND(",", Test!A186)+1)+1)+1)-FIND(",", Test!A186,FIND(",", Test!A186,FIND(",", Test!A186)+1)+1)-1), IF(Test!B186&lt;&gt;"",MID(Test!B186,FIND(",",Test!B186)+1,FIND(",",Test!B186,FIND(",",Test!B186)+1)-FIND(",",Test!B186)-1),IF(Test!A186&lt;&gt;"",MID(Test!A186,FIND(",",Test!A186,FIND(",",Test!A186)+1)+1,FIND(",",Test!A186,FIND(",",Test!A186,FIND(",",Test!A186)+1)+1)-FIND(",",Test!A186,FIND(",",Test!A186)+1)-1),"")))</f>
        <v/>
      </c>
      <c r="C186" t="str">
        <f>IF(ISNUMBER(FIND("Query",Test!A186)),RIGHT(Test!A186,LEN(Test!A186)-FIND(",",Test!A186,FIND(",",Test!A186,FIND(",",Test!A186,FIND(",",Test!A186)+1)+1)+1)),IF(Test!B186&lt;&gt;"",RIGHT(Test!B186,LEN(Test!B186)-FIND(",",Test!B186,FIND(",",Test!B186)+1)),IF(Test!A186&lt;&gt;"",MID(Test!A186,FIND(",",Test!A186,FIND(",",Test!A186,FIND(",",Test!A186)+1)+1)+1,LEN(Test!A186)-FIND(",",Test!A186,FIND(",",Test!A186,FIND(",",Test!A186)+1)+1)),""))) &amp; IF(Test!C186&lt;&gt;"", " " &amp; SUBSTITUTE(Test!C186,"-",""), "")</f>
        <v/>
      </c>
    </row>
    <row r="187" spans="1:3" x14ac:dyDescent="0.25">
      <c r="A187" t="str">
        <f>IF(Test!A187="", "", IF(ISNUMBER(FIND("Query",Test!A187)), "AS Query ZMMIMR91 , ZGRIR_ALV", IF(LEFT(Test!A187,1)="7", "AS " &amp; Test!A187, "AS " &amp; IF(Test!B187="",SUBSTITUTE(MID(Test!A187,FIND(",",Test!A187)+1,FIND(",",Test!A187,FIND(",",Test!A187)+1)-FIND(",",Test!A187)-1),"Cube ",""),LEFT(Test!B187,FIND(",",Test!B187)-1)))))</f>
        <v/>
      </c>
      <c r="B187" t="str">
        <f>IF(ISNUMBER(SEARCH("Query", Test!A187)), MID(Test!A187,FIND(",", Test!A187,FIND(",", Test!A187,FIND(",", Test!A187)+1)+1)+1, FIND(",", Test!A187,FIND(",", Test!A187,FIND(",", Test!A187,FIND(",", Test!A187)+1)+1)+1)-FIND(",", Test!A187,FIND(",", Test!A187,FIND(",", Test!A187)+1)+1)-1), IF(Test!B187&lt;&gt;"",MID(Test!B187,FIND(",",Test!B187)+1,FIND(",",Test!B187,FIND(",",Test!B187)+1)-FIND(",",Test!B187)-1),IF(Test!A187&lt;&gt;"",MID(Test!A187,FIND(",",Test!A187,FIND(",",Test!A187)+1)+1,FIND(",",Test!A187,FIND(",",Test!A187,FIND(",",Test!A187)+1)+1)-FIND(",",Test!A187,FIND(",",Test!A187)+1)-1),"")))</f>
        <v/>
      </c>
      <c r="C187" t="str">
        <f>IF(ISNUMBER(FIND("Query",Test!A187)),RIGHT(Test!A187,LEN(Test!A187)-FIND(",",Test!A187,FIND(",",Test!A187,FIND(",",Test!A187,FIND(",",Test!A187)+1)+1)+1)),IF(Test!B187&lt;&gt;"",RIGHT(Test!B187,LEN(Test!B187)-FIND(",",Test!B187,FIND(",",Test!B187)+1)),IF(Test!A187&lt;&gt;"",MID(Test!A187,FIND(",",Test!A187,FIND(",",Test!A187,FIND(",",Test!A187)+1)+1)+1,LEN(Test!A187)-FIND(",",Test!A187,FIND(",",Test!A187,FIND(",",Test!A187)+1)+1)),""))) &amp; IF(Test!C187&lt;&gt;"", " " &amp; SUBSTITUTE(Test!C187,"-",""), "")</f>
        <v/>
      </c>
    </row>
    <row r="188" spans="1:3" x14ac:dyDescent="0.25">
      <c r="A188" t="str">
        <f>IF(Test!A188="", "", IF(ISNUMBER(FIND("Query",Test!A188)), "AS Query ZMMIMR91 , ZGRIR_ALV", IF(LEFT(Test!A188,1)="7", "AS " &amp; Test!A188, "AS " &amp; IF(Test!B188="",SUBSTITUTE(MID(Test!A188,FIND(",",Test!A188)+1,FIND(",",Test!A188,FIND(",",Test!A188)+1)-FIND(",",Test!A188)-1),"Cube ",""),LEFT(Test!B188,FIND(",",Test!B188)-1)))))</f>
        <v/>
      </c>
      <c r="B188" t="str">
        <f>IF(ISNUMBER(SEARCH("Query", Test!A188)), MID(Test!A188,FIND(",", Test!A188,FIND(",", Test!A188,FIND(",", Test!A188)+1)+1)+1, FIND(",", Test!A188,FIND(",", Test!A188,FIND(",", Test!A188,FIND(",", Test!A188)+1)+1)+1)-FIND(",", Test!A188,FIND(",", Test!A188,FIND(",", Test!A188)+1)+1)-1), IF(Test!B188&lt;&gt;"",MID(Test!B188,FIND(",",Test!B188)+1,FIND(",",Test!B188,FIND(",",Test!B188)+1)-FIND(",",Test!B188)-1),IF(Test!A188&lt;&gt;"",MID(Test!A188,FIND(",",Test!A188,FIND(",",Test!A188)+1)+1,FIND(",",Test!A188,FIND(",",Test!A188,FIND(",",Test!A188)+1)+1)-FIND(",",Test!A188,FIND(",",Test!A188)+1)-1),"")))</f>
        <v/>
      </c>
      <c r="C188" t="str">
        <f>IF(ISNUMBER(FIND("Query",Test!A188)),RIGHT(Test!A188,LEN(Test!A188)-FIND(",",Test!A188,FIND(",",Test!A188,FIND(",",Test!A188,FIND(",",Test!A188)+1)+1)+1)),IF(Test!B188&lt;&gt;"",RIGHT(Test!B188,LEN(Test!B188)-FIND(",",Test!B188,FIND(",",Test!B188)+1)),IF(Test!A188&lt;&gt;"",MID(Test!A188,FIND(",",Test!A188,FIND(",",Test!A188,FIND(",",Test!A188)+1)+1)+1,LEN(Test!A188)-FIND(",",Test!A188,FIND(",",Test!A188,FIND(",",Test!A188)+1)+1)),""))) &amp; IF(Test!C188&lt;&gt;"", " " &amp; SUBSTITUTE(Test!C188,"-",""), "")</f>
        <v/>
      </c>
    </row>
    <row r="189" spans="1:3" x14ac:dyDescent="0.25">
      <c r="A189" t="str">
        <f>IF(Test!A189="", "", IF(ISNUMBER(FIND("Query",Test!A189)), "AS Query ZMMIMR91 , ZGRIR_ALV", IF(LEFT(Test!A189,1)="7", "AS " &amp; Test!A189, "AS " &amp; IF(Test!B189="",SUBSTITUTE(MID(Test!A189,FIND(",",Test!A189)+1,FIND(",",Test!A189,FIND(",",Test!A189)+1)-FIND(",",Test!A189)-1),"Cube ",""),LEFT(Test!B189,FIND(",",Test!B189)-1)))))</f>
        <v/>
      </c>
      <c r="B189" t="str">
        <f>IF(ISNUMBER(SEARCH("Query", Test!A189)), MID(Test!A189,FIND(",", Test!A189,FIND(",", Test!A189,FIND(",", Test!A189)+1)+1)+1, FIND(",", Test!A189,FIND(",", Test!A189,FIND(",", Test!A189,FIND(",", Test!A189)+1)+1)+1)-FIND(",", Test!A189,FIND(",", Test!A189,FIND(",", Test!A189)+1)+1)-1), IF(Test!B189&lt;&gt;"",MID(Test!B189,FIND(",",Test!B189)+1,FIND(",",Test!B189,FIND(",",Test!B189)+1)-FIND(",",Test!B189)-1),IF(Test!A189&lt;&gt;"",MID(Test!A189,FIND(",",Test!A189,FIND(",",Test!A189)+1)+1,FIND(",",Test!A189,FIND(",",Test!A189,FIND(",",Test!A189)+1)+1)-FIND(",",Test!A189,FIND(",",Test!A189)+1)-1),"")))</f>
        <v/>
      </c>
      <c r="C189" t="str">
        <f>IF(ISNUMBER(FIND("Query",Test!A189)),RIGHT(Test!A189,LEN(Test!A189)-FIND(",",Test!A189,FIND(",",Test!A189,FIND(",",Test!A189,FIND(",",Test!A189)+1)+1)+1)),IF(Test!B189&lt;&gt;"",RIGHT(Test!B189,LEN(Test!B189)-FIND(",",Test!B189,FIND(",",Test!B189)+1)),IF(Test!A189&lt;&gt;"",MID(Test!A189,FIND(",",Test!A189,FIND(",",Test!A189,FIND(",",Test!A189)+1)+1)+1,LEN(Test!A189)-FIND(",",Test!A189,FIND(",",Test!A189,FIND(",",Test!A189)+1)+1)),""))) &amp; IF(Test!C189&lt;&gt;"", " " &amp; SUBSTITUTE(Test!C189,"-",""), "")</f>
        <v/>
      </c>
    </row>
    <row r="190" spans="1:3" x14ac:dyDescent="0.25">
      <c r="A190" t="str">
        <f>IF(Test!A190="", "", IF(ISNUMBER(FIND("Query",Test!A190)), "AS Query ZMMIMR91 , ZGRIR_ALV", IF(LEFT(Test!A190,1)="7", "AS " &amp; Test!A190, "AS " &amp; IF(Test!B190="",SUBSTITUTE(MID(Test!A190,FIND(",",Test!A190)+1,FIND(",",Test!A190,FIND(",",Test!A190)+1)-FIND(",",Test!A190)-1),"Cube ",""),LEFT(Test!B190,FIND(",",Test!B190)-1)))))</f>
        <v/>
      </c>
      <c r="B190" t="str">
        <f>IF(ISNUMBER(SEARCH("Query", Test!A190)), MID(Test!A190,FIND(",", Test!A190,FIND(",", Test!A190,FIND(",", Test!A190)+1)+1)+1, FIND(",", Test!A190,FIND(",", Test!A190,FIND(",", Test!A190,FIND(",", Test!A190)+1)+1)+1)-FIND(",", Test!A190,FIND(",", Test!A190,FIND(",", Test!A190)+1)+1)-1), IF(Test!B190&lt;&gt;"",MID(Test!B190,FIND(",",Test!B190)+1,FIND(",",Test!B190,FIND(",",Test!B190)+1)-FIND(",",Test!B190)-1),IF(Test!A190&lt;&gt;"",MID(Test!A190,FIND(",",Test!A190,FIND(",",Test!A190)+1)+1,FIND(",",Test!A190,FIND(",",Test!A190,FIND(",",Test!A190)+1)+1)-FIND(",",Test!A190,FIND(",",Test!A190)+1)-1),"")))</f>
        <v/>
      </c>
      <c r="C190" t="str">
        <f>IF(ISNUMBER(FIND("Query",Test!A190)),RIGHT(Test!A190,LEN(Test!A190)-FIND(",",Test!A190,FIND(",",Test!A190,FIND(",",Test!A190,FIND(",",Test!A190)+1)+1)+1)),IF(Test!B190&lt;&gt;"",RIGHT(Test!B190,LEN(Test!B190)-FIND(",",Test!B190,FIND(",",Test!B190)+1)),IF(Test!A190&lt;&gt;"",MID(Test!A190,FIND(",",Test!A190,FIND(",",Test!A190,FIND(",",Test!A190)+1)+1)+1,LEN(Test!A190)-FIND(",",Test!A190,FIND(",",Test!A190,FIND(",",Test!A190)+1)+1)),""))) &amp; IF(Test!C190&lt;&gt;"", " " &amp; SUBSTITUTE(Test!C190,"-",""), "")</f>
        <v/>
      </c>
    </row>
    <row r="191" spans="1:3" x14ac:dyDescent="0.25">
      <c r="A191" t="str">
        <f>IF(Test!A191="", "", IF(ISNUMBER(FIND("Query",Test!A191)), "AS Query ZMMIMR91 , ZGRIR_ALV", IF(LEFT(Test!A191,1)="7", "AS " &amp; Test!A191, "AS " &amp; IF(Test!B191="",SUBSTITUTE(MID(Test!A191,FIND(",",Test!A191)+1,FIND(",",Test!A191,FIND(",",Test!A191)+1)-FIND(",",Test!A191)-1),"Cube ",""),LEFT(Test!B191,FIND(",",Test!B191)-1)))))</f>
        <v/>
      </c>
      <c r="B191" t="str">
        <f>IF(ISNUMBER(SEARCH("Query", Test!A191)), MID(Test!A191,FIND(",", Test!A191,FIND(",", Test!A191,FIND(",", Test!A191)+1)+1)+1, FIND(",", Test!A191,FIND(",", Test!A191,FIND(",", Test!A191,FIND(",", Test!A191)+1)+1)+1)-FIND(",", Test!A191,FIND(",", Test!A191,FIND(",", Test!A191)+1)+1)-1), IF(Test!B191&lt;&gt;"",MID(Test!B191,FIND(",",Test!B191)+1,FIND(",",Test!B191,FIND(",",Test!B191)+1)-FIND(",",Test!B191)-1),IF(Test!A191&lt;&gt;"",MID(Test!A191,FIND(",",Test!A191,FIND(",",Test!A191)+1)+1,FIND(",",Test!A191,FIND(",",Test!A191,FIND(",",Test!A191)+1)+1)-FIND(",",Test!A191,FIND(",",Test!A191)+1)-1),"")))</f>
        <v/>
      </c>
      <c r="C191" t="str">
        <f>IF(ISNUMBER(FIND("Query",Test!A191)),RIGHT(Test!A191,LEN(Test!A191)-FIND(",",Test!A191,FIND(",",Test!A191,FIND(",",Test!A191,FIND(",",Test!A191)+1)+1)+1)),IF(Test!B191&lt;&gt;"",RIGHT(Test!B191,LEN(Test!B191)-FIND(",",Test!B191,FIND(",",Test!B191)+1)),IF(Test!A191&lt;&gt;"",MID(Test!A191,FIND(",",Test!A191,FIND(",",Test!A191,FIND(",",Test!A191)+1)+1)+1,LEN(Test!A191)-FIND(",",Test!A191,FIND(",",Test!A191,FIND(",",Test!A191)+1)+1)),""))) &amp; IF(Test!C191&lt;&gt;"", " " &amp; SUBSTITUTE(Test!C191,"-",""), "")</f>
        <v/>
      </c>
    </row>
    <row r="192" spans="1:3" x14ac:dyDescent="0.25">
      <c r="A192" t="str">
        <f>IF(Test!A192="", "", IF(ISNUMBER(FIND("Query",Test!A192)), "AS Query ZMMIMR91 , ZGRIR_ALV", IF(LEFT(Test!A192,1)="7", "AS " &amp; Test!A192, "AS " &amp; IF(Test!B192="",SUBSTITUTE(MID(Test!A192,FIND(",",Test!A192)+1,FIND(",",Test!A192,FIND(",",Test!A192)+1)-FIND(",",Test!A192)-1),"Cube ",""),LEFT(Test!B192,FIND(",",Test!B192)-1)))))</f>
        <v/>
      </c>
      <c r="B192" t="str">
        <f>IF(ISNUMBER(SEARCH("Query", Test!A192)), MID(Test!A192,FIND(",", Test!A192,FIND(",", Test!A192,FIND(",", Test!A192)+1)+1)+1, FIND(",", Test!A192,FIND(",", Test!A192,FIND(",", Test!A192,FIND(",", Test!A192)+1)+1)+1)-FIND(",", Test!A192,FIND(",", Test!A192,FIND(",", Test!A192)+1)+1)-1), IF(Test!B192&lt;&gt;"",MID(Test!B192,FIND(",",Test!B192)+1,FIND(",",Test!B192,FIND(",",Test!B192)+1)-FIND(",",Test!B192)-1),IF(Test!A192&lt;&gt;"",MID(Test!A192,FIND(",",Test!A192,FIND(",",Test!A192)+1)+1,FIND(",",Test!A192,FIND(",",Test!A192,FIND(",",Test!A192)+1)+1)-FIND(",",Test!A192,FIND(",",Test!A192)+1)-1),"")))</f>
        <v/>
      </c>
      <c r="C192" t="str">
        <f>IF(ISNUMBER(FIND("Query",Test!A192)),RIGHT(Test!A192,LEN(Test!A192)-FIND(",",Test!A192,FIND(",",Test!A192,FIND(",",Test!A192,FIND(",",Test!A192)+1)+1)+1)),IF(Test!B192&lt;&gt;"",RIGHT(Test!B192,LEN(Test!B192)-FIND(",",Test!B192,FIND(",",Test!B192)+1)),IF(Test!A192&lt;&gt;"",MID(Test!A192,FIND(",",Test!A192,FIND(",",Test!A192,FIND(",",Test!A192)+1)+1)+1,LEN(Test!A192)-FIND(",",Test!A192,FIND(",",Test!A192,FIND(",",Test!A192)+1)+1)),""))) &amp; IF(Test!C192&lt;&gt;"", " " &amp; SUBSTITUTE(Test!C192,"-",""), "")</f>
        <v/>
      </c>
    </row>
    <row r="193" spans="1:3" x14ac:dyDescent="0.25">
      <c r="A193" t="str">
        <f>IF(Test!A193="", "", IF(ISNUMBER(FIND("Query",Test!A193)), "AS Query ZMMIMR91 , ZGRIR_ALV", IF(LEFT(Test!A193,1)="7", "AS " &amp; Test!A193, "AS " &amp; IF(Test!B193="",SUBSTITUTE(MID(Test!A193,FIND(",",Test!A193)+1,FIND(",",Test!A193,FIND(",",Test!A193)+1)-FIND(",",Test!A193)-1),"Cube ",""),LEFT(Test!B193,FIND(",",Test!B193)-1)))))</f>
        <v/>
      </c>
      <c r="B193" t="str">
        <f>IF(ISNUMBER(SEARCH("Query", Test!A193)), MID(Test!A193,FIND(",", Test!A193,FIND(",", Test!A193,FIND(",", Test!A193)+1)+1)+1, FIND(",", Test!A193,FIND(",", Test!A193,FIND(",", Test!A193,FIND(",", Test!A193)+1)+1)+1)-FIND(",", Test!A193,FIND(",", Test!A193,FIND(",", Test!A193)+1)+1)-1), IF(Test!B193&lt;&gt;"",MID(Test!B193,FIND(",",Test!B193)+1,FIND(",",Test!B193,FIND(",",Test!B193)+1)-FIND(",",Test!B193)-1),IF(Test!A193&lt;&gt;"",MID(Test!A193,FIND(",",Test!A193,FIND(",",Test!A193)+1)+1,FIND(",",Test!A193,FIND(",",Test!A193,FIND(",",Test!A193)+1)+1)-FIND(",",Test!A193,FIND(",",Test!A193)+1)-1),"")))</f>
        <v/>
      </c>
      <c r="C193" t="str">
        <f>IF(ISNUMBER(FIND("Query",Test!A193)),RIGHT(Test!A193,LEN(Test!A193)-FIND(",",Test!A193,FIND(",",Test!A193,FIND(",",Test!A193,FIND(",",Test!A193)+1)+1)+1)),IF(Test!B193&lt;&gt;"",RIGHT(Test!B193,LEN(Test!B193)-FIND(",",Test!B193,FIND(",",Test!B193)+1)),IF(Test!A193&lt;&gt;"",MID(Test!A193,FIND(",",Test!A193,FIND(",",Test!A193,FIND(",",Test!A193)+1)+1)+1,LEN(Test!A193)-FIND(",",Test!A193,FIND(",",Test!A193,FIND(",",Test!A193)+1)+1)),""))) &amp; IF(Test!C193&lt;&gt;"", " " &amp; SUBSTITUTE(Test!C193,"-",""), "")</f>
        <v/>
      </c>
    </row>
    <row r="194" spans="1:3" x14ac:dyDescent="0.25">
      <c r="A194" t="str">
        <f>IF(Test!A194="", "", IF(ISNUMBER(FIND("Query",Test!A194)), "AS Query ZMMIMR91 , ZGRIR_ALV", IF(LEFT(Test!A194,1)="7", "AS " &amp; Test!A194, "AS " &amp; IF(Test!B194="",SUBSTITUTE(MID(Test!A194,FIND(",",Test!A194)+1,FIND(",",Test!A194,FIND(",",Test!A194)+1)-FIND(",",Test!A194)-1),"Cube ",""),LEFT(Test!B194,FIND(",",Test!B194)-1)))))</f>
        <v/>
      </c>
      <c r="B194" t="str">
        <f>IF(ISNUMBER(SEARCH("Query", Test!A194)), MID(Test!A194,FIND(",", Test!A194,FIND(",", Test!A194,FIND(",", Test!A194)+1)+1)+1, FIND(",", Test!A194,FIND(",", Test!A194,FIND(",", Test!A194,FIND(",", Test!A194)+1)+1)+1)-FIND(",", Test!A194,FIND(",", Test!A194,FIND(",", Test!A194)+1)+1)-1), IF(Test!B194&lt;&gt;"",MID(Test!B194,FIND(",",Test!B194)+1,FIND(",",Test!B194,FIND(",",Test!B194)+1)-FIND(",",Test!B194)-1),IF(Test!A194&lt;&gt;"",MID(Test!A194,FIND(",",Test!A194,FIND(",",Test!A194)+1)+1,FIND(",",Test!A194,FIND(",",Test!A194,FIND(",",Test!A194)+1)+1)-FIND(",",Test!A194,FIND(",",Test!A194)+1)-1),"")))</f>
        <v/>
      </c>
      <c r="C194" t="str">
        <f>IF(ISNUMBER(FIND("Query",Test!A194)),RIGHT(Test!A194,LEN(Test!A194)-FIND(",",Test!A194,FIND(",",Test!A194,FIND(",",Test!A194,FIND(",",Test!A194)+1)+1)+1)),IF(Test!B194&lt;&gt;"",RIGHT(Test!B194,LEN(Test!B194)-FIND(",",Test!B194,FIND(",",Test!B194)+1)),IF(Test!A194&lt;&gt;"",MID(Test!A194,FIND(",",Test!A194,FIND(",",Test!A194,FIND(",",Test!A194)+1)+1)+1,LEN(Test!A194)-FIND(",",Test!A194,FIND(",",Test!A194,FIND(",",Test!A194)+1)+1)),""))) &amp; IF(Test!C194&lt;&gt;"", " " &amp; SUBSTITUTE(Test!C194,"-",""), "")</f>
        <v/>
      </c>
    </row>
    <row r="195" spans="1:3" x14ac:dyDescent="0.25">
      <c r="A195" t="str">
        <f>IF(Test!A195="", "", IF(ISNUMBER(FIND("Query",Test!A195)), "AS Query ZMMIMR91 , ZGRIR_ALV", IF(LEFT(Test!A195,1)="7", "AS " &amp; Test!A195, "AS " &amp; IF(Test!B195="",SUBSTITUTE(MID(Test!A195,FIND(",",Test!A195)+1,FIND(",",Test!A195,FIND(",",Test!A195)+1)-FIND(",",Test!A195)-1),"Cube ",""),LEFT(Test!B195,FIND(",",Test!B195)-1)))))</f>
        <v/>
      </c>
      <c r="B195" t="str">
        <f>IF(ISNUMBER(SEARCH("Query", Test!A195)), MID(Test!A195,FIND(",", Test!A195,FIND(",", Test!A195,FIND(",", Test!A195)+1)+1)+1, FIND(",", Test!A195,FIND(",", Test!A195,FIND(",", Test!A195,FIND(",", Test!A195)+1)+1)+1)-FIND(",", Test!A195,FIND(",", Test!A195,FIND(",", Test!A195)+1)+1)-1), IF(Test!B195&lt;&gt;"",MID(Test!B195,FIND(",",Test!B195)+1,FIND(",",Test!B195,FIND(",",Test!B195)+1)-FIND(",",Test!B195)-1),IF(Test!A195&lt;&gt;"",MID(Test!A195,FIND(",",Test!A195,FIND(",",Test!A195)+1)+1,FIND(",",Test!A195,FIND(",",Test!A195,FIND(",",Test!A195)+1)+1)-FIND(",",Test!A195,FIND(",",Test!A195)+1)-1),"")))</f>
        <v/>
      </c>
      <c r="C195" t="str">
        <f>IF(ISNUMBER(FIND("Query",Test!A195)),RIGHT(Test!A195,LEN(Test!A195)-FIND(",",Test!A195,FIND(",",Test!A195,FIND(",",Test!A195,FIND(",",Test!A195)+1)+1)+1)),IF(Test!B195&lt;&gt;"",RIGHT(Test!B195,LEN(Test!B195)-FIND(",",Test!B195,FIND(",",Test!B195)+1)),IF(Test!A195&lt;&gt;"",MID(Test!A195,FIND(",",Test!A195,FIND(",",Test!A195,FIND(",",Test!A195)+1)+1)+1,LEN(Test!A195)-FIND(",",Test!A195,FIND(",",Test!A195,FIND(",",Test!A195)+1)+1)),""))) &amp; IF(Test!C195&lt;&gt;"", " " &amp; SUBSTITUTE(Test!C195,"-",""), "")</f>
        <v/>
      </c>
    </row>
    <row r="196" spans="1:3" x14ac:dyDescent="0.25">
      <c r="A196" t="str">
        <f>IF(Test!A196="", "", IF(ISNUMBER(FIND("Query",Test!A196)), "AS Query ZMMIMR91 , ZGRIR_ALV", IF(LEFT(Test!A196,1)="7", "AS " &amp; Test!A196, "AS " &amp; IF(Test!B196="",SUBSTITUTE(MID(Test!A196,FIND(",",Test!A196)+1,FIND(",",Test!A196,FIND(",",Test!A196)+1)-FIND(",",Test!A196)-1),"Cube ",""),LEFT(Test!B196,FIND(",",Test!B196)-1)))))</f>
        <v/>
      </c>
      <c r="B196" t="str">
        <f>IF(ISNUMBER(SEARCH("Query", Test!A196)), MID(Test!A196,FIND(",", Test!A196,FIND(",", Test!A196,FIND(",", Test!A196)+1)+1)+1, FIND(",", Test!A196,FIND(",", Test!A196,FIND(",", Test!A196,FIND(",", Test!A196)+1)+1)+1)-FIND(",", Test!A196,FIND(",", Test!A196,FIND(",", Test!A196)+1)+1)-1), IF(Test!B196&lt;&gt;"",MID(Test!B196,FIND(",",Test!B196)+1,FIND(",",Test!B196,FIND(",",Test!B196)+1)-FIND(",",Test!B196)-1),IF(Test!A196&lt;&gt;"",MID(Test!A196,FIND(",",Test!A196,FIND(",",Test!A196)+1)+1,FIND(",",Test!A196,FIND(",",Test!A196,FIND(",",Test!A196)+1)+1)-FIND(",",Test!A196,FIND(",",Test!A196)+1)-1),"")))</f>
        <v/>
      </c>
      <c r="C196" t="str">
        <f>IF(ISNUMBER(FIND("Query",Test!A196)),RIGHT(Test!A196,LEN(Test!A196)-FIND(",",Test!A196,FIND(",",Test!A196,FIND(",",Test!A196,FIND(",",Test!A196)+1)+1)+1)),IF(Test!B196&lt;&gt;"",RIGHT(Test!B196,LEN(Test!B196)-FIND(",",Test!B196,FIND(",",Test!B196)+1)),IF(Test!A196&lt;&gt;"",MID(Test!A196,FIND(",",Test!A196,FIND(",",Test!A196,FIND(",",Test!A196)+1)+1)+1,LEN(Test!A196)-FIND(",",Test!A196,FIND(",",Test!A196,FIND(",",Test!A196)+1)+1)),""))) &amp; IF(Test!C196&lt;&gt;"", " " &amp; SUBSTITUTE(Test!C196,"-",""), "")</f>
        <v/>
      </c>
    </row>
    <row r="197" spans="1:3" x14ac:dyDescent="0.25">
      <c r="A197" t="str">
        <f>IF(Test!A197="", "", IF(ISNUMBER(FIND("Query",Test!A197)), "AS Query ZMMIMR91 , ZGRIR_ALV", IF(LEFT(Test!A197,1)="7", "AS " &amp; Test!A197, "AS " &amp; IF(Test!B197="",SUBSTITUTE(MID(Test!A197,FIND(",",Test!A197)+1,FIND(",",Test!A197,FIND(",",Test!A197)+1)-FIND(",",Test!A197)-1),"Cube ",""),LEFT(Test!B197,FIND(",",Test!B197)-1)))))</f>
        <v/>
      </c>
      <c r="B197" t="str">
        <f>IF(ISNUMBER(SEARCH("Query", Test!A197)), MID(Test!A197,FIND(",", Test!A197,FIND(",", Test!A197,FIND(",", Test!A197)+1)+1)+1, FIND(",", Test!A197,FIND(",", Test!A197,FIND(",", Test!A197,FIND(",", Test!A197)+1)+1)+1)-FIND(",", Test!A197,FIND(",", Test!A197,FIND(",", Test!A197)+1)+1)-1), IF(Test!B197&lt;&gt;"",MID(Test!B197,FIND(",",Test!B197)+1,FIND(",",Test!B197,FIND(",",Test!B197)+1)-FIND(",",Test!B197)-1),IF(Test!A197&lt;&gt;"",MID(Test!A197,FIND(",",Test!A197,FIND(",",Test!A197)+1)+1,FIND(",",Test!A197,FIND(",",Test!A197,FIND(",",Test!A197)+1)+1)-FIND(",",Test!A197,FIND(",",Test!A197)+1)-1),"")))</f>
        <v/>
      </c>
      <c r="C197" t="str">
        <f>IF(ISNUMBER(FIND("Query",Test!A197)),RIGHT(Test!A197,LEN(Test!A197)-FIND(",",Test!A197,FIND(",",Test!A197,FIND(",",Test!A197,FIND(",",Test!A197)+1)+1)+1)),IF(Test!B197&lt;&gt;"",RIGHT(Test!B197,LEN(Test!B197)-FIND(",",Test!B197,FIND(",",Test!B197)+1)),IF(Test!A197&lt;&gt;"",MID(Test!A197,FIND(",",Test!A197,FIND(",",Test!A197,FIND(",",Test!A197)+1)+1)+1,LEN(Test!A197)-FIND(",",Test!A197,FIND(",",Test!A197,FIND(",",Test!A197)+1)+1)),""))) &amp; IF(Test!C197&lt;&gt;"", " " &amp; SUBSTITUTE(Test!C197,"-",""), "")</f>
        <v/>
      </c>
    </row>
    <row r="198" spans="1:3" x14ac:dyDescent="0.25">
      <c r="A198" t="str">
        <f>IF(Test!A198="", "", IF(ISNUMBER(FIND("Query",Test!A198)), "AS Query ZMMIMR91 , ZGRIR_ALV", IF(LEFT(Test!A198,1)="7", "AS " &amp; Test!A198, "AS " &amp; IF(Test!B198="",SUBSTITUTE(MID(Test!A198,FIND(",",Test!A198)+1,FIND(",",Test!A198,FIND(",",Test!A198)+1)-FIND(",",Test!A198)-1),"Cube ",""),LEFT(Test!B198,FIND(",",Test!B198)-1)))))</f>
        <v/>
      </c>
      <c r="B198" t="str">
        <f>IF(ISNUMBER(SEARCH("Query", Test!A198)), MID(Test!A198,FIND(",", Test!A198,FIND(",", Test!A198,FIND(",", Test!A198)+1)+1)+1, FIND(",", Test!A198,FIND(",", Test!A198,FIND(",", Test!A198,FIND(",", Test!A198)+1)+1)+1)-FIND(",", Test!A198,FIND(",", Test!A198,FIND(",", Test!A198)+1)+1)-1), IF(Test!B198&lt;&gt;"",MID(Test!B198,FIND(",",Test!B198)+1,FIND(",",Test!B198,FIND(",",Test!B198)+1)-FIND(",",Test!B198)-1),IF(Test!A198&lt;&gt;"",MID(Test!A198,FIND(",",Test!A198,FIND(",",Test!A198)+1)+1,FIND(",",Test!A198,FIND(",",Test!A198,FIND(",",Test!A198)+1)+1)-FIND(",",Test!A198,FIND(",",Test!A198)+1)-1),"")))</f>
        <v/>
      </c>
      <c r="C198" t="str">
        <f>IF(ISNUMBER(FIND("Query",Test!A198)),RIGHT(Test!A198,LEN(Test!A198)-FIND(",",Test!A198,FIND(",",Test!A198,FIND(",",Test!A198,FIND(",",Test!A198)+1)+1)+1)),IF(Test!B198&lt;&gt;"",RIGHT(Test!B198,LEN(Test!B198)-FIND(",",Test!B198,FIND(",",Test!B198)+1)),IF(Test!A198&lt;&gt;"",MID(Test!A198,FIND(",",Test!A198,FIND(",",Test!A198,FIND(",",Test!A198)+1)+1)+1,LEN(Test!A198)-FIND(",",Test!A198,FIND(",",Test!A198,FIND(",",Test!A198)+1)+1)),""))) &amp; IF(Test!C198&lt;&gt;"", " " &amp; SUBSTITUTE(Test!C198,"-",""), "")</f>
        <v/>
      </c>
    </row>
    <row r="199" spans="1:3" x14ac:dyDescent="0.25">
      <c r="A199" t="str">
        <f>IF(Test!A199="", "", IF(ISNUMBER(FIND("Query",Test!A199)), "AS Query ZMMIMR91 , ZGRIR_ALV", IF(LEFT(Test!A199,1)="7", "AS " &amp; Test!A199, "AS " &amp; IF(Test!B199="",SUBSTITUTE(MID(Test!A199,FIND(",",Test!A199)+1,FIND(",",Test!A199,FIND(",",Test!A199)+1)-FIND(",",Test!A199)-1),"Cube ",""),LEFT(Test!B199,FIND(",",Test!B199)-1)))))</f>
        <v/>
      </c>
      <c r="B199" t="str">
        <f>IF(ISNUMBER(SEARCH("Query", Test!A199)), MID(Test!A199,FIND(",", Test!A199,FIND(",", Test!A199,FIND(",", Test!A199)+1)+1)+1, FIND(",", Test!A199,FIND(",", Test!A199,FIND(",", Test!A199,FIND(",", Test!A199)+1)+1)+1)-FIND(",", Test!A199,FIND(",", Test!A199,FIND(",", Test!A199)+1)+1)-1), IF(Test!B199&lt;&gt;"",MID(Test!B199,FIND(",",Test!B199)+1,FIND(",",Test!B199,FIND(",",Test!B199)+1)-FIND(",",Test!B199)-1),IF(Test!A199&lt;&gt;"",MID(Test!A199,FIND(",",Test!A199,FIND(",",Test!A199)+1)+1,FIND(",",Test!A199,FIND(",",Test!A199,FIND(",",Test!A199)+1)+1)-FIND(",",Test!A199,FIND(",",Test!A199)+1)-1),"")))</f>
        <v/>
      </c>
      <c r="C199" t="str">
        <f>IF(ISNUMBER(FIND("Query",Test!A199)),RIGHT(Test!A199,LEN(Test!A199)-FIND(",",Test!A199,FIND(",",Test!A199,FIND(",",Test!A199,FIND(",",Test!A199)+1)+1)+1)),IF(Test!B199&lt;&gt;"",RIGHT(Test!B199,LEN(Test!B199)-FIND(",",Test!B199,FIND(",",Test!B199)+1)),IF(Test!A199&lt;&gt;"",MID(Test!A199,FIND(",",Test!A199,FIND(",",Test!A199,FIND(",",Test!A199)+1)+1)+1,LEN(Test!A199)-FIND(",",Test!A199,FIND(",",Test!A199,FIND(",",Test!A199)+1)+1)),""))) &amp; IF(Test!C199&lt;&gt;"", " " &amp; SUBSTITUTE(Test!C199,"-",""), "")</f>
        <v/>
      </c>
    </row>
    <row r="200" spans="1:3" x14ac:dyDescent="0.25">
      <c r="A200" t="str">
        <f>IF(Test!A200="", "", IF(ISNUMBER(FIND("Query",Test!A200)), "AS Query ZMMIMR91 , ZGRIR_ALV", IF(LEFT(Test!A200,1)="7", "AS " &amp; Test!A200, "AS " &amp; IF(Test!B200="",SUBSTITUTE(MID(Test!A200,FIND(",",Test!A200)+1,FIND(",",Test!A200,FIND(",",Test!A200)+1)-FIND(",",Test!A200)-1),"Cube ",""),LEFT(Test!B200,FIND(",",Test!B200)-1)))))</f>
        <v/>
      </c>
      <c r="B200" t="str">
        <f>IF(ISNUMBER(SEARCH("Query", Test!A200)), MID(Test!A200,FIND(",", Test!A200,FIND(",", Test!A200,FIND(",", Test!A200)+1)+1)+1, FIND(",", Test!A200,FIND(",", Test!A200,FIND(",", Test!A200,FIND(",", Test!A200)+1)+1)+1)-FIND(",", Test!A200,FIND(",", Test!A200,FIND(",", Test!A200)+1)+1)-1), IF(Test!B200&lt;&gt;"",MID(Test!B200,FIND(",",Test!B200)+1,FIND(",",Test!B200,FIND(",",Test!B200)+1)-FIND(",",Test!B200)-1),IF(Test!A200&lt;&gt;"",MID(Test!A200,FIND(",",Test!A200,FIND(",",Test!A200)+1)+1,FIND(",",Test!A200,FIND(",",Test!A200,FIND(",",Test!A200)+1)+1)-FIND(",",Test!A200,FIND(",",Test!A200)+1)-1),"")))</f>
        <v/>
      </c>
      <c r="C200" t="str">
        <f>IF(ISNUMBER(FIND("Query",Test!A200)),RIGHT(Test!A200,LEN(Test!A200)-FIND(",",Test!A200,FIND(",",Test!A200,FIND(",",Test!A200,FIND(",",Test!A200)+1)+1)+1)),IF(Test!B200&lt;&gt;"",RIGHT(Test!B200,LEN(Test!B200)-FIND(",",Test!B200,FIND(",",Test!B200)+1)),IF(Test!A200&lt;&gt;"",MID(Test!A200,FIND(",",Test!A200,FIND(",",Test!A200,FIND(",",Test!A200)+1)+1)+1,LEN(Test!A200)-FIND(",",Test!A200,FIND(",",Test!A200,FIND(",",Test!A200)+1)+1)),""))) &amp; IF(Test!C200&lt;&gt;"", " " &amp; SUBSTITUTE(Test!C200,"-",""), "")</f>
        <v/>
      </c>
    </row>
    <row r="201" spans="1:3" x14ac:dyDescent="0.25">
      <c r="A201" t="str">
        <f>IF(Test!A201="", "", IF(ISNUMBER(FIND("Query",Test!A201)), "AS Query ZMMIMR91 , ZGRIR_ALV", IF(LEFT(Test!A201,1)="7", "AS " &amp; Test!A201, "AS " &amp; IF(Test!B201="",SUBSTITUTE(MID(Test!A201,FIND(",",Test!A201)+1,FIND(",",Test!A201,FIND(",",Test!A201)+1)-FIND(",",Test!A201)-1),"Cube ",""),LEFT(Test!B201,FIND(",",Test!B201)-1)))))</f>
        <v/>
      </c>
      <c r="B201" t="str">
        <f>IF(ISNUMBER(SEARCH("Query", Test!A201)), MID(Test!A201,FIND(",", Test!A201,FIND(",", Test!A201,FIND(",", Test!A201)+1)+1)+1, FIND(",", Test!A201,FIND(",", Test!A201,FIND(",", Test!A201,FIND(",", Test!A201)+1)+1)+1)-FIND(",", Test!A201,FIND(",", Test!A201,FIND(",", Test!A201)+1)+1)-1), IF(Test!B201&lt;&gt;"",MID(Test!B201,FIND(",",Test!B201)+1,FIND(",",Test!B201,FIND(",",Test!B201)+1)-FIND(",",Test!B201)-1),IF(Test!A201&lt;&gt;"",MID(Test!A201,FIND(",",Test!A201,FIND(",",Test!A201)+1)+1,FIND(",",Test!A201,FIND(",",Test!A201,FIND(",",Test!A201)+1)+1)-FIND(",",Test!A201,FIND(",",Test!A201)+1)-1),"")))</f>
        <v/>
      </c>
      <c r="C201" t="str">
        <f>IF(ISNUMBER(FIND("Query",Test!A201)),RIGHT(Test!A201,LEN(Test!A201)-FIND(",",Test!A201,FIND(",",Test!A201,FIND(",",Test!A201,FIND(",",Test!A201)+1)+1)+1)),IF(Test!B201&lt;&gt;"",RIGHT(Test!B201,LEN(Test!B201)-FIND(",",Test!B201,FIND(",",Test!B201)+1)),IF(Test!A201&lt;&gt;"",MID(Test!A201,FIND(",",Test!A201,FIND(",",Test!A201,FIND(",",Test!A201)+1)+1)+1,LEN(Test!A201)-FIND(",",Test!A201,FIND(",",Test!A201,FIND(",",Test!A201)+1)+1)),""))) &amp; IF(Test!C201&lt;&gt;"", " " &amp; SUBSTITUTE(Test!C201,"-",""), "")</f>
        <v/>
      </c>
    </row>
    <row r="202" spans="1:3" x14ac:dyDescent="0.25">
      <c r="A202" t="str">
        <f>IF(Test!A202="", "", IF(ISNUMBER(FIND("Query",Test!A202)), "AS Query ZMMIMR91 , ZGRIR_ALV", IF(LEFT(Test!A202,1)="7", "AS " &amp; Test!A202, "AS " &amp; IF(Test!B202="",SUBSTITUTE(MID(Test!A202,FIND(",",Test!A202)+1,FIND(",",Test!A202,FIND(",",Test!A202)+1)-FIND(",",Test!A202)-1),"Cube ",""),LEFT(Test!B202,FIND(",",Test!B202)-1)))))</f>
        <v/>
      </c>
      <c r="B202" t="str">
        <f>IF(ISNUMBER(SEARCH("Query", Test!A202)), MID(Test!A202,FIND(",", Test!A202,FIND(",", Test!A202,FIND(",", Test!A202)+1)+1)+1, FIND(",", Test!A202,FIND(",", Test!A202,FIND(",", Test!A202,FIND(",", Test!A202)+1)+1)+1)-FIND(",", Test!A202,FIND(",", Test!A202,FIND(",", Test!A202)+1)+1)-1), IF(Test!B202&lt;&gt;"",MID(Test!B202,FIND(",",Test!B202)+1,FIND(",",Test!B202,FIND(",",Test!B202)+1)-FIND(",",Test!B202)-1),IF(Test!A202&lt;&gt;"",MID(Test!A202,FIND(",",Test!A202,FIND(",",Test!A202)+1)+1,FIND(",",Test!A202,FIND(",",Test!A202,FIND(",",Test!A202)+1)+1)-FIND(",",Test!A202,FIND(",",Test!A202)+1)-1),"")))</f>
        <v/>
      </c>
      <c r="C202" t="str">
        <f>IF(ISNUMBER(FIND("Query",Test!A202)),RIGHT(Test!A202,LEN(Test!A202)-FIND(",",Test!A202,FIND(",",Test!A202,FIND(",",Test!A202,FIND(",",Test!A202)+1)+1)+1)),IF(Test!B202&lt;&gt;"",RIGHT(Test!B202,LEN(Test!B202)-FIND(",",Test!B202,FIND(",",Test!B202)+1)),IF(Test!A202&lt;&gt;"",MID(Test!A202,FIND(",",Test!A202,FIND(",",Test!A202,FIND(",",Test!A202)+1)+1)+1,LEN(Test!A202)-FIND(",",Test!A202,FIND(",",Test!A202,FIND(",",Test!A202)+1)+1)),""))) &amp; IF(Test!C202&lt;&gt;"", " " &amp; SUBSTITUTE(Test!C202,"-",""), "")</f>
        <v/>
      </c>
    </row>
    <row r="203" spans="1:3" x14ac:dyDescent="0.25">
      <c r="A203" t="str">
        <f>IF(Test!A203="", "", IF(ISNUMBER(FIND("Query",Test!A203)), "AS Query ZMMIMR91 , ZGRIR_ALV", IF(LEFT(Test!A203,1)="7", "AS " &amp; Test!A203, "AS " &amp; IF(Test!B203="",SUBSTITUTE(MID(Test!A203,FIND(",",Test!A203)+1,FIND(",",Test!A203,FIND(",",Test!A203)+1)-FIND(",",Test!A203)-1),"Cube ",""),LEFT(Test!B203,FIND(",",Test!B203)-1)))))</f>
        <v/>
      </c>
      <c r="B203" t="str">
        <f>IF(ISNUMBER(SEARCH("Query", Test!A203)), MID(Test!A203,FIND(",", Test!A203,FIND(",", Test!A203,FIND(",", Test!A203)+1)+1)+1, FIND(",", Test!A203,FIND(",", Test!A203,FIND(",", Test!A203,FIND(",", Test!A203)+1)+1)+1)-FIND(",", Test!A203,FIND(",", Test!A203,FIND(",", Test!A203)+1)+1)-1), IF(Test!B203&lt;&gt;"",MID(Test!B203,FIND(",",Test!B203)+1,FIND(",",Test!B203,FIND(",",Test!B203)+1)-FIND(",",Test!B203)-1),IF(Test!A203&lt;&gt;"",MID(Test!A203,FIND(",",Test!A203,FIND(",",Test!A203)+1)+1,FIND(",",Test!A203,FIND(",",Test!A203,FIND(",",Test!A203)+1)+1)-FIND(",",Test!A203,FIND(",",Test!A203)+1)-1),"")))</f>
        <v/>
      </c>
      <c r="C203" t="str">
        <f>IF(ISNUMBER(FIND("Query",Test!A203)),RIGHT(Test!A203,LEN(Test!A203)-FIND(",",Test!A203,FIND(",",Test!A203,FIND(",",Test!A203,FIND(",",Test!A203)+1)+1)+1)),IF(Test!B203&lt;&gt;"",RIGHT(Test!B203,LEN(Test!B203)-FIND(",",Test!B203,FIND(",",Test!B203)+1)),IF(Test!A203&lt;&gt;"",MID(Test!A203,FIND(",",Test!A203,FIND(",",Test!A203,FIND(",",Test!A203)+1)+1)+1,LEN(Test!A203)-FIND(",",Test!A203,FIND(",",Test!A203,FIND(",",Test!A203)+1)+1)),""))) &amp; IF(Test!C203&lt;&gt;"", " " &amp; SUBSTITUTE(Test!C203,"-",""), "")</f>
        <v/>
      </c>
    </row>
    <row r="204" spans="1:3" x14ac:dyDescent="0.25">
      <c r="A204" t="str">
        <f>IF(Test!A204="", "", IF(ISNUMBER(FIND("Query",Test!A204)), "AS Query ZMMIMR91 , ZGRIR_ALV", IF(LEFT(Test!A204,1)="7", "AS " &amp; Test!A204, "AS " &amp; IF(Test!B204="",SUBSTITUTE(MID(Test!A204,FIND(",",Test!A204)+1,FIND(",",Test!A204,FIND(",",Test!A204)+1)-FIND(",",Test!A204)-1),"Cube ",""),LEFT(Test!B204,FIND(",",Test!B204)-1)))))</f>
        <v/>
      </c>
      <c r="B204" t="str">
        <f>IF(ISNUMBER(SEARCH("Query", Test!A204)), MID(Test!A204,FIND(",", Test!A204,FIND(",", Test!A204,FIND(",", Test!A204)+1)+1)+1, FIND(",", Test!A204,FIND(",", Test!A204,FIND(",", Test!A204,FIND(",", Test!A204)+1)+1)+1)-FIND(",", Test!A204,FIND(",", Test!A204,FIND(",", Test!A204)+1)+1)-1), IF(Test!B204&lt;&gt;"",MID(Test!B204,FIND(",",Test!B204)+1,FIND(",",Test!B204,FIND(",",Test!B204)+1)-FIND(",",Test!B204)-1),IF(Test!A204&lt;&gt;"",MID(Test!A204,FIND(",",Test!A204,FIND(",",Test!A204)+1)+1,FIND(",",Test!A204,FIND(",",Test!A204,FIND(",",Test!A204)+1)+1)-FIND(",",Test!A204,FIND(",",Test!A204)+1)-1),"")))</f>
        <v/>
      </c>
      <c r="C204" t="str">
        <f>IF(ISNUMBER(FIND("Query",Test!A204)),RIGHT(Test!A204,LEN(Test!A204)-FIND(",",Test!A204,FIND(",",Test!A204,FIND(",",Test!A204,FIND(",",Test!A204)+1)+1)+1)),IF(Test!B204&lt;&gt;"",RIGHT(Test!B204,LEN(Test!B204)-FIND(",",Test!B204,FIND(",",Test!B204)+1)),IF(Test!A204&lt;&gt;"",MID(Test!A204,FIND(",",Test!A204,FIND(",",Test!A204,FIND(",",Test!A204)+1)+1)+1,LEN(Test!A204)-FIND(",",Test!A204,FIND(",",Test!A204,FIND(",",Test!A204)+1)+1)),""))) &amp; IF(Test!C204&lt;&gt;"", " " &amp; SUBSTITUTE(Test!C204,"-",""), "")</f>
        <v/>
      </c>
    </row>
    <row r="205" spans="1:3" x14ac:dyDescent="0.25">
      <c r="A205" t="str">
        <f>IF(Test!A205="", "", IF(ISNUMBER(FIND("Query",Test!A205)), "AS Query ZMMIMR91 , ZGRIR_ALV", IF(LEFT(Test!A205,1)="7", "AS " &amp; Test!A205, "AS " &amp; IF(Test!B205="",SUBSTITUTE(MID(Test!A205,FIND(",",Test!A205)+1,FIND(",",Test!A205,FIND(",",Test!A205)+1)-FIND(",",Test!A205)-1),"Cube ",""),LEFT(Test!B205,FIND(",",Test!B205)-1)))))</f>
        <v/>
      </c>
      <c r="B205" t="str">
        <f>IF(ISNUMBER(SEARCH("Query", Test!A205)), MID(Test!A205,FIND(",", Test!A205,FIND(",", Test!A205,FIND(",", Test!A205)+1)+1)+1, FIND(",", Test!A205,FIND(",", Test!A205,FIND(",", Test!A205,FIND(",", Test!A205)+1)+1)+1)-FIND(",", Test!A205,FIND(",", Test!A205,FIND(",", Test!A205)+1)+1)-1), IF(Test!B205&lt;&gt;"",MID(Test!B205,FIND(",",Test!B205)+1,FIND(",",Test!B205,FIND(",",Test!B205)+1)-FIND(",",Test!B205)-1),IF(Test!A205&lt;&gt;"",MID(Test!A205,FIND(",",Test!A205,FIND(",",Test!A205)+1)+1,FIND(",",Test!A205,FIND(",",Test!A205,FIND(",",Test!A205)+1)+1)-FIND(",",Test!A205,FIND(",",Test!A205)+1)-1),"")))</f>
        <v/>
      </c>
      <c r="C205" t="str">
        <f>IF(ISNUMBER(FIND("Query",Test!A205)),RIGHT(Test!A205,LEN(Test!A205)-FIND(",",Test!A205,FIND(",",Test!A205,FIND(",",Test!A205,FIND(",",Test!A205)+1)+1)+1)),IF(Test!B205&lt;&gt;"",RIGHT(Test!B205,LEN(Test!B205)-FIND(",",Test!B205,FIND(",",Test!B205)+1)),IF(Test!A205&lt;&gt;"",MID(Test!A205,FIND(",",Test!A205,FIND(",",Test!A205,FIND(",",Test!A205)+1)+1)+1,LEN(Test!A205)-FIND(",",Test!A205,FIND(",",Test!A205,FIND(",",Test!A205)+1)+1)),""))) &amp; IF(Test!C205&lt;&gt;"", " " &amp; SUBSTITUTE(Test!C205,"-",""), "")</f>
        <v/>
      </c>
    </row>
    <row r="206" spans="1:3" x14ac:dyDescent="0.25">
      <c r="A206" t="str">
        <f>IF(Test!A206="", "", IF(ISNUMBER(FIND("Query",Test!A206)), "AS Query ZMMIMR91 , ZGRIR_ALV", IF(LEFT(Test!A206,1)="7", "AS " &amp; Test!A206, "AS " &amp; IF(Test!B206="",SUBSTITUTE(MID(Test!A206,FIND(",",Test!A206)+1,FIND(",",Test!A206,FIND(",",Test!A206)+1)-FIND(",",Test!A206)-1),"Cube ",""),LEFT(Test!B206,FIND(",",Test!B206)-1)))))</f>
        <v/>
      </c>
      <c r="B206" t="str">
        <f>IF(ISNUMBER(SEARCH("Query", Test!A206)), MID(Test!A206,FIND(",", Test!A206,FIND(",", Test!A206,FIND(",", Test!A206)+1)+1)+1, FIND(",", Test!A206,FIND(",", Test!A206,FIND(",", Test!A206,FIND(",", Test!A206)+1)+1)+1)-FIND(",", Test!A206,FIND(",", Test!A206,FIND(",", Test!A206)+1)+1)-1), IF(Test!B206&lt;&gt;"",MID(Test!B206,FIND(",",Test!B206)+1,FIND(",",Test!B206,FIND(",",Test!B206)+1)-FIND(",",Test!B206)-1),IF(Test!A206&lt;&gt;"",MID(Test!A206,FIND(",",Test!A206,FIND(",",Test!A206)+1)+1,FIND(",",Test!A206,FIND(",",Test!A206,FIND(",",Test!A206)+1)+1)-FIND(",",Test!A206,FIND(",",Test!A206)+1)-1),"")))</f>
        <v/>
      </c>
      <c r="C206" t="str">
        <f>IF(ISNUMBER(FIND("Query",Test!A206)),RIGHT(Test!A206,LEN(Test!A206)-FIND(",",Test!A206,FIND(",",Test!A206,FIND(",",Test!A206,FIND(",",Test!A206)+1)+1)+1)),IF(Test!B206&lt;&gt;"",RIGHT(Test!B206,LEN(Test!B206)-FIND(",",Test!B206,FIND(",",Test!B206)+1)),IF(Test!A206&lt;&gt;"",MID(Test!A206,FIND(",",Test!A206,FIND(",",Test!A206,FIND(",",Test!A206)+1)+1)+1,LEN(Test!A206)-FIND(",",Test!A206,FIND(",",Test!A206,FIND(",",Test!A206)+1)+1)),""))) &amp; IF(Test!C206&lt;&gt;"", " " &amp; SUBSTITUTE(Test!C206,"-",""), "")</f>
        <v/>
      </c>
    </row>
    <row r="207" spans="1:3" x14ac:dyDescent="0.25">
      <c r="A207" t="str">
        <f>IF(Test!A207="", "", IF(ISNUMBER(FIND("Query",Test!A207)), "AS Query ZMMIMR91 , ZGRIR_ALV", IF(LEFT(Test!A207,1)="7", "AS " &amp; Test!A207, "AS " &amp; IF(Test!B207="",SUBSTITUTE(MID(Test!A207,FIND(",",Test!A207)+1,FIND(",",Test!A207,FIND(",",Test!A207)+1)-FIND(",",Test!A207)-1),"Cube ",""),LEFT(Test!B207,FIND(",",Test!B207)-1)))))</f>
        <v/>
      </c>
      <c r="B207" t="str">
        <f>IF(ISNUMBER(SEARCH("Query", Test!A207)), MID(Test!A207,FIND(",", Test!A207,FIND(",", Test!A207,FIND(",", Test!A207)+1)+1)+1, FIND(",", Test!A207,FIND(",", Test!A207,FIND(",", Test!A207,FIND(",", Test!A207)+1)+1)+1)-FIND(",", Test!A207,FIND(",", Test!A207,FIND(",", Test!A207)+1)+1)-1), IF(Test!B207&lt;&gt;"",MID(Test!B207,FIND(",",Test!B207)+1,FIND(",",Test!B207,FIND(",",Test!B207)+1)-FIND(",",Test!B207)-1),IF(Test!A207&lt;&gt;"",MID(Test!A207,FIND(",",Test!A207,FIND(",",Test!A207)+1)+1,FIND(",",Test!A207,FIND(",",Test!A207,FIND(",",Test!A207)+1)+1)-FIND(",",Test!A207,FIND(",",Test!A207)+1)-1),"")))</f>
        <v/>
      </c>
      <c r="C207" t="str">
        <f>IF(ISNUMBER(FIND("Query",Test!A207)),RIGHT(Test!A207,LEN(Test!A207)-FIND(",",Test!A207,FIND(",",Test!A207,FIND(",",Test!A207,FIND(",",Test!A207)+1)+1)+1)),IF(Test!B207&lt;&gt;"",RIGHT(Test!B207,LEN(Test!B207)-FIND(",",Test!B207,FIND(",",Test!B207)+1)),IF(Test!A207&lt;&gt;"",MID(Test!A207,FIND(",",Test!A207,FIND(",",Test!A207,FIND(",",Test!A207)+1)+1)+1,LEN(Test!A207)-FIND(",",Test!A207,FIND(",",Test!A207,FIND(",",Test!A207)+1)+1)),""))) &amp; IF(Test!C207&lt;&gt;"", " " &amp; SUBSTITUTE(Test!C207,"-",""), "")</f>
        <v/>
      </c>
    </row>
    <row r="208" spans="1:3" x14ac:dyDescent="0.25">
      <c r="A208" t="str">
        <f>IF(Test!A208="", "", IF(ISNUMBER(FIND("Query",Test!A208)), "AS Query ZMMIMR91 , ZGRIR_ALV", IF(LEFT(Test!A208,1)="7", "AS " &amp; Test!A208, "AS " &amp; IF(Test!B208="",SUBSTITUTE(MID(Test!A208,FIND(",",Test!A208)+1,FIND(",",Test!A208,FIND(",",Test!A208)+1)-FIND(",",Test!A208)-1),"Cube ",""),LEFT(Test!B208,FIND(",",Test!B208)-1)))))</f>
        <v/>
      </c>
      <c r="B208" t="str">
        <f>IF(ISNUMBER(SEARCH("Query", Test!A208)), MID(Test!A208,FIND(",", Test!A208,FIND(",", Test!A208,FIND(",", Test!A208)+1)+1)+1, FIND(",", Test!A208,FIND(",", Test!A208,FIND(",", Test!A208,FIND(",", Test!A208)+1)+1)+1)-FIND(",", Test!A208,FIND(",", Test!A208,FIND(",", Test!A208)+1)+1)-1), IF(Test!B208&lt;&gt;"",MID(Test!B208,FIND(",",Test!B208)+1,FIND(",",Test!B208,FIND(",",Test!B208)+1)-FIND(",",Test!B208)-1),IF(Test!A208&lt;&gt;"",MID(Test!A208,FIND(",",Test!A208,FIND(",",Test!A208)+1)+1,FIND(",",Test!A208,FIND(",",Test!A208,FIND(",",Test!A208)+1)+1)-FIND(",",Test!A208,FIND(",",Test!A208)+1)-1),"")))</f>
        <v/>
      </c>
      <c r="C208" t="str">
        <f>IF(ISNUMBER(FIND("Query",Test!A208)),RIGHT(Test!A208,LEN(Test!A208)-FIND(",",Test!A208,FIND(",",Test!A208,FIND(",",Test!A208,FIND(",",Test!A208)+1)+1)+1)),IF(Test!B208&lt;&gt;"",RIGHT(Test!B208,LEN(Test!B208)-FIND(",",Test!B208,FIND(",",Test!B208)+1)),IF(Test!A208&lt;&gt;"",MID(Test!A208,FIND(",",Test!A208,FIND(",",Test!A208,FIND(",",Test!A208)+1)+1)+1,LEN(Test!A208)-FIND(",",Test!A208,FIND(",",Test!A208,FIND(",",Test!A208)+1)+1)),""))) &amp; IF(Test!C208&lt;&gt;"", " " &amp; SUBSTITUTE(Test!C208,"-",""), "")</f>
        <v/>
      </c>
    </row>
    <row r="209" spans="1:3" x14ac:dyDescent="0.25">
      <c r="A209" t="str">
        <f>IF(Test!A209="", "", IF(ISNUMBER(FIND("Query",Test!A209)), "AS Query ZMMIMR91 , ZGRIR_ALV", IF(LEFT(Test!A209,1)="7", "AS " &amp; Test!A209, "AS " &amp; IF(Test!B209="",SUBSTITUTE(MID(Test!A209,FIND(",",Test!A209)+1,FIND(",",Test!A209,FIND(",",Test!A209)+1)-FIND(",",Test!A209)-1),"Cube ",""),LEFT(Test!B209,FIND(",",Test!B209)-1)))))</f>
        <v/>
      </c>
      <c r="B209" t="str">
        <f>IF(ISNUMBER(SEARCH("Query", Test!A209)), MID(Test!A209,FIND(",", Test!A209,FIND(",", Test!A209,FIND(",", Test!A209)+1)+1)+1, FIND(",", Test!A209,FIND(",", Test!A209,FIND(",", Test!A209,FIND(",", Test!A209)+1)+1)+1)-FIND(",", Test!A209,FIND(",", Test!A209,FIND(",", Test!A209)+1)+1)-1), IF(Test!B209&lt;&gt;"",MID(Test!B209,FIND(",",Test!B209)+1,FIND(",",Test!B209,FIND(",",Test!B209)+1)-FIND(",",Test!B209)-1),IF(Test!A209&lt;&gt;"",MID(Test!A209,FIND(",",Test!A209,FIND(",",Test!A209)+1)+1,FIND(",",Test!A209,FIND(",",Test!A209,FIND(",",Test!A209)+1)+1)-FIND(",",Test!A209,FIND(",",Test!A209)+1)-1),"")))</f>
        <v/>
      </c>
      <c r="C209" t="str">
        <f>IF(ISNUMBER(FIND("Query",Test!A209)),RIGHT(Test!A209,LEN(Test!A209)-FIND(",",Test!A209,FIND(",",Test!A209,FIND(",",Test!A209,FIND(",",Test!A209)+1)+1)+1)),IF(Test!B209&lt;&gt;"",RIGHT(Test!B209,LEN(Test!B209)-FIND(",",Test!B209,FIND(",",Test!B209)+1)),IF(Test!A209&lt;&gt;"",MID(Test!A209,FIND(",",Test!A209,FIND(",",Test!A209,FIND(",",Test!A209)+1)+1)+1,LEN(Test!A209)-FIND(",",Test!A209,FIND(",",Test!A209,FIND(",",Test!A209)+1)+1)),""))) &amp; IF(Test!C209&lt;&gt;"", " " &amp; SUBSTITUTE(Test!C209,"-",""), "")</f>
        <v/>
      </c>
    </row>
    <row r="210" spans="1:3" x14ac:dyDescent="0.25">
      <c r="A210" t="str">
        <f>IF(Test!A210="", "", IF(ISNUMBER(FIND("Query",Test!A210)), "AS Query ZMMIMR91 , ZGRIR_ALV", IF(LEFT(Test!A210,1)="7", "AS " &amp; Test!A210, "AS " &amp; IF(Test!B210="",SUBSTITUTE(MID(Test!A210,FIND(",",Test!A210)+1,FIND(",",Test!A210,FIND(",",Test!A210)+1)-FIND(",",Test!A210)-1),"Cube ",""),LEFT(Test!B210,FIND(",",Test!B210)-1)))))</f>
        <v/>
      </c>
      <c r="B210" t="str">
        <f>IF(ISNUMBER(SEARCH("Query", Test!A210)), MID(Test!A210,FIND(",", Test!A210,FIND(",", Test!A210,FIND(",", Test!A210)+1)+1)+1, FIND(",", Test!A210,FIND(",", Test!A210,FIND(",", Test!A210,FIND(",", Test!A210)+1)+1)+1)-FIND(",", Test!A210,FIND(",", Test!A210,FIND(",", Test!A210)+1)+1)-1), IF(Test!B210&lt;&gt;"",MID(Test!B210,FIND(",",Test!B210)+1,FIND(",",Test!B210,FIND(",",Test!B210)+1)-FIND(",",Test!B210)-1),IF(Test!A210&lt;&gt;"",MID(Test!A210,FIND(",",Test!A210,FIND(",",Test!A210)+1)+1,FIND(",",Test!A210,FIND(",",Test!A210,FIND(",",Test!A210)+1)+1)-FIND(",",Test!A210,FIND(",",Test!A210)+1)-1),"")))</f>
        <v/>
      </c>
      <c r="C210" t="str">
        <f>IF(ISNUMBER(FIND("Query",Test!A210)),RIGHT(Test!A210,LEN(Test!A210)-FIND(",",Test!A210,FIND(",",Test!A210,FIND(",",Test!A210,FIND(",",Test!A210)+1)+1)+1)),IF(Test!B210&lt;&gt;"",RIGHT(Test!B210,LEN(Test!B210)-FIND(",",Test!B210,FIND(",",Test!B210)+1)),IF(Test!A210&lt;&gt;"",MID(Test!A210,FIND(",",Test!A210,FIND(",",Test!A210,FIND(",",Test!A210)+1)+1)+1,LEN(Test!A210)-FIND(",",Test!A210,FIND(",",Test!A210,FIND(",",Test!A210)+1)+1)),""))) &amp; IF(Test!C210&lt;&gt;"", " " &amp; SUBSTITUTE(Test!C210,"-",""), "")</f>
        <v/>
      </c>
    </row>
    <row r="211" spans="1:3" x14ac:dyDescent="0.25">
      <c r="A211" t="str">
        <f>IF(Test!A211="", "", IF(ISNUMBER(FIND("Query",Test!A211)), "AS Query ZMMIMR91 , ZGRIR_ALV", IF(LEFT(Test!A211,1)="7", "AS " &amp; Test!A211, "AS " &amp; IF(Test!B211="",SUBSTITUTE(MID(Test!A211,FIND(",",Test!A211)+1,FIND(",",Test!A211,FIND(",",Test!A211)+1)-FIND(",",Test!A211)-1),"Cube ",""),LEFT(Test!B211,FIND(",",Test!B211)-1)))))</f>
        <v/>
      </c>
      <c r="B211" t="str">
        <f>IF(ISNUMBER(SEARCH("Query", Test!A211)), MID(Test!A211,FIND(",", Test!A211,FIND(",", Test!A211,FIND(",", Test!A211)+1)+1)+1, FIND(",", Test!A211,FIND(",", Test!A211,FIND(",", Test!A211,FIND(",", Test!A211)+1)+1)+1)-FIND(",", Test!A211,FIND(",", Test!A211,FIND(",", Test!A211)+1)+1)-1), IF(Test!B211&lt;&gt;"",MID(Test!B211,FIND(",",Test!B211)+1,FIND(",",Test!B211,FIND(",",Test!B211)+1)-FIND(",",Test!B211)-1),IF(Test!A211&lt;&gt;"",MID(Test!A211,FIND(",",Test!A211,FIND(",",Test!A211)+1)+1,FIND(",",Test!A211,FIND(",",Test!A211,FIND(",",Test!A211)+1)+1)-FIND(",",Test!A211,FIND(",",Test!A211)+1)-1),"")))</f>
        <v/>
      </c>
      <c r="C211" t="str">
        <f>IF(ISNUMBER(FIND("Query",Test!A211)),RIGHT(Test!A211,LEN(Test!A211)-FIND(",",Test!A211,FIND(",",Test!A211,FIND(",",Test!A211,FIND(",",Test!A211)+1)+1)+1)),IF(Test!B211&lt;&gt;"",RIGHT(Test!B211,LEN(Test!B211)-FIND(",",Test!B211,FIND(",",Test!B211)+1)),IF(Test!A211&lt;&gt;"",MID(Test!A211,FIND(",",Test!A211,FIND(",",Test!A211,FIND(",",Test!A211)+1)+1)+1,LEN(Test!A211)-FIND(",",Test!A211,FIND(",",Test!A211,FIND(",",Test!A211)+1)+1)),""))) &amp; IF(Test!C211&lt;&gt;"", " " &amp; SUBSTITUTE(Test!C211,"-",""), "")</f>
        <v/>
      </c>
    </row>
    <row r="212" spans="1:3" x14ac:dyDescent="0.25">
      <c r="A212" t="str">
        <f>IF(Test!A212="", "", IF(ISNUMBER(FIND("Query",Test!A212)), "AS Query ZMMIMR91 , ZGRIR_ALV", IF(LEFT(Test!A212,1)="7", "AS " &amp; Test!A212, "AS " &amp; IF(Test!B212="",SUBSTITUTE(MID(Test!A212,FIND(",",Test!A212)+1,FIND(",",Test!A212,FIND(",",Test!A212)+1)-FIND(",",Test!A212)-1),"Cube ",""),LEFT(Test!B212,FIND(",",Test!B212)-1)))))</f>
        <v/>
      </c>
      <c r="B212" t="str">
        <f>IF(ISNUMBER(SEARCH("Query", Test!A212)), MID(Test!A212,FIND(",", Test!A212,FIND(",", Test!A212,FIND(",", Test!A212)+1)+1)+1, FIND(",", Test!A212,FIND(",", Test!A212,FIND(",", Test!A212,FIND(",", Test!A212)+1)+1)+1)-FIND(",", Test!A212,FIND(",", Test!A212,FIND(",", Test!A212)+1)+1)-1), IF(Test!B212&lt;&gt;"",MID(Test!B212,FIND(",",Test!B212)+1,FIND(",",Test!B212,FIND(",",Test!B212)+1)-FIND(",",Test!B212)-1),IF(Test!A212&lt;&gt;"",MID(Test!A212,FIND(",",Test!A212,FIND(",",Test!A212)+1)+1,FIND(",",Test!A212,FIND(",",Test!A212,FIND(",",Test!A212)+1)+1)-FIND(",",Test!A212,FIND(",",Test!A212)+1)-1),"")))</f>
        <v/>
      </c>
      <c r="C212" t="str">
        <f>IF(ISNUMBER(FIND("Query",Test!A212)),RIGHT(Test!A212,LEN(Test!A212)-FIND(",",Test!A212,FIND(",",Test!A212,FIND(",",Test!A212,FIND(",",Test!A212)+1)+1)+1)),IF(Test!B212&lt;&gt;"",RIGHT(Test!B212,LEN(Test!B212)-FIND(",",Test!B212,FIND(",",Test!B212)+1)),IF(Test!A212&lt;&gt;"",MID(Test!A212,FIND(",",Test!A212,FIND(",",Test!A212,FIND(",",Test!A212)+1)+1)+1,LEN(Test!A212)-FIND(",",Test!A212,FIND(",",Test!A212,FIND(",",Test!A212)+1)+1)),""))) &amp; IF(Test!C212&lt;&gt;"", " " &amp; SUBSTITUTE(Test!C212,"-",""), "")</f>
        <v/>
      </c>
    </row>
    <row r="213" spans="1:3" x14ac:dyDescent="0.25">
      <c r="A213" t="str">
        <f>IF(Test!A213="", "", IF(ISNUMBER(FIND("Query",Test!A213)), "AS Query ZMMIMR91 , ZGRIR_ALV", IF(LEFT(Test!A213,1)="7", "AS " &amp; Test!A213, "AS " &amp; IF(Test!B213="",SUBSTITUTE(MID(Test!A213,FIND(",",Test!A213)+1,FIND(",",Test!A213,FIND(",",Test!A213)+1)-FIND(",",Test!A213)-1),"Cube ",""),LEFT(Test!B213,FIND(",",Test!B213)-1)))))</f>
        <v/>
      </c>
      <c r="B213" t="str">
        <f>IF(ISNUMBER(SEARCH("Query", Test!A213)), MID(Test!A213,FIND(",", Test!A213,FIND(",", Test!A213,FIND(",", Test!A213)+1)+1)+1, FIND(",", Test!A213,FIND(",", Test!A213,FIND(",", Test!A213,FIND(",", Test!A213)+1)+1)+1)-FIND(",", Test!A213,FIND(",", Test!A213,FIND(",", Test!A213)+1)+1)-1), IF(Test!B213&lt;&gt;"",MID(Test!B213,FIND(",",Test!B213)+1,FIND(",",Test!B213,FIND(",",Test!B213)+1)-FIND(",",Test!B213)-1),IF(Test!A213&lt;&gt;"",MID(Test!A213,FIND(",",Test!A213,FIND(",",Test!A213)+1)+1,FIND(",",Test!A213,FIND(",",Test!A213,FIND(",",Test!A213)+1)+1)-FIND(",",Test!A213,FIND(",",Test!A213)+1)-1),"")))</f>
        <v/>
      </c>
      <c r="C213" t="str">
        <f>IF(ISNUMBER(FIND("Query",Test!A213)),RIGHT(Test!A213,LEN(Test!A213)-FIND(",",Test!A213,FIND(",",Test!A213,FIND(",",Test!A213,FIND(",",Test!A213)+1)+1)+1)),IF(Test!B213&lt;&gt;"",RIGHT(Test!B213,LEN(Test!B213)-FIND(",",Test!B213,FIND(",",Test!B213)+1)),IF(Test!A213&lt;&gt;"",MID(Test!A213,FIND(",",Test!A213,FIND(",",Test!A213,FIND(",",Test!A213)+1)+1)+1,LEN(Test!A213)-FIND(",",Test!A213,FIND(",",Test!A213,FIND(",",Test!A213)+1)+1)),""))) &amp; IF(Test!C213&lt;&gt;"", " " &amp; SUBSTITUTE(Test!C213,"-",""), "")</f>
        <v/>
      </c>
    </row>
    <row r="214" spans="1:3" x14ac:dyDescent="0.25">
      <c r="A214" t="str">
        <f>IF(Test!A214="", "", IF(ISNUMBER(FIND("Query",Test!A214)), "AS Query ZMMIMR91 , ZGRIR_ALV", IF(LEFT(Test!A214,1)="7", "AS " &amp; Test!A214, "AS " &amp; IF(Test!B214="",SUBSTITUTE(MID(Test!A214,FIND(",",Test!A214)+1,FIND(",",Test!A214,FIND(",",Test!A214)+1)-FIND(",",Test!A214)-1),"Cube ",""),LEFT(Test!B214,FIND(",",Test!B214)-1)))))</f>
        <v/>
      </c>
      <c r="B214" t="str">
        <f>IF(ISNUMBER(SEARCH("Query", Test!A214)), MID(Test!A214,FIND(",", Test!A214,FIND(",", Test!A214,FIND(",", Test!A214)+1)+1)+1, FIND(",", Test!A214,FIND(",", Test!A214,FIND(",", Test!A214,FIND(",", Test!A214)+1)+1)+1)-FIND(",", Test!A214,FIND(",", Test!A214,FIND(",", Test!A214)+1)+1)-1), IF(Test!B214&lt;&gt;"",MID(Test!B214,FIND(",",Test!B214)+1,FIND(",",Test!B214,FIND(",",Test!B214)+1)-FIND(",",Test!B214)-1),IF(Test!A214&lt;&gt;"",MID(Test!A214,FIND(",",Test!A214,FIND(",",Test!A214)+1)+1,FIND(",",Test!A214,FIND(",",Test!A214,FIND(",",Test!A214)+1)+1)-FIND(",",Test!A214,FIND(",",Test!A214)+1)-1),"")))</f>
        <v/>
      </c>
      <c r="C214" t="str">
        <f>IF(ISNUMBER(FIND("Query",Test!A214)),RIGHT(Test!A214,LEN(Test!A214)-FIND(",",Test!A214,FIND(",",Test!A214,FIND(",",Test!A214,FIND(",",Test!A214)+1)+1)+1)),IF(Test!B214&lt;&gt;"",RIGHT(Test!B214,LEN(Test!B214)-FIND(",",Test!B214,FIND(",",Test!B214)+1)),IF(Test!A214&lt;&gt;"",MID(Test!A214,FIND(",",Test!A214,FIND(",",Test!A214,FIND(",",Test!A214)+1)+1)+1,LEN(Test!A214)-FIND(",",Test!A214,FIND(",",Test!A214,FIND(",",Test!A214)+1)+1)),""))) &amp; IF(Test!C214&lt;&gt;"", " " &amp; SUBSTITUTE(Test!C214,"-",""), "")</f>
        <v/>
      </c>
    </row>
    <row r="215" spans="1:3" x14ac:dyDescent="0.25">
      <c r="A215" t="str">
        <f>IF(Test!A215="", "", IF(ISNUMBER(FIND("Query",Test!A215)), "AS Query ZMMIMR91 , ZGRIR_ALV", IF(LEFT(Test!A215,1)="7", "AS " &amp; Test!A215, "AS " &amp; IF(Test!B215="",SUBSTITUTE(MID(Test!A215,FIND(",",Test!A215)+1,FIND(",",Test!A215,FIND(",",Test!A215)+1)-FIND(",",Test!A215)-1),"Cube ",""),LEFT(Test!B215,FIND(",",Test!B215)-1)))))</f>
        <v/>
      </c>
      <c r="B215" t="str">
        <f>IF(ISNUMBER(SEARCH("Query", Test!A215)), MID(Test!A215,FIND(",", Test!A215,FIND(",", Test!A215,FIND(",", Test!A215)+1)+1)+1, FIND(",", Test!A215,FIND(",", Test!A215,FIND(",", Test!A215,FIND(",", Test!A215)+1)+1)+1)-FIND(",", Test!A215,FIND(",", Test!A215,FIND(",", Test!A215)+1)+1)-1), IF(Test!B215&lt;&gt;"",MID(Test!B215,FIND(",",Test!B215)+1,FIND(",",Test!B215,FIND(",",Test!B215)+1)-FIND(",",Test!B215)-1),IF(Test!A215&lt;&gt;"",MID(Test!A215,FIND(",",Test!A215,FIND(",",Test!A215)+1)+1,FIND(",",Test!A215,FIND(",",Test!A215,FIND(",",Test!A215)+1)+1)-FIND(",",Test!A215,FIND(",",Test!A215)+1)-1),"")))</f>
        <v/>
      </c>
      <c r="C215" t="str">
        <f>IF(ISNUMBER(FIND("Query",Test!A215)),RIGHT(Test!A215,LEN(Test!A215)-FIND(",",Test!A215,FIND(",",Test!A215,FIND(",",Test!A215,FIND(",",Test!A215)+1)+1)+1)),IF(Test!B215&lt;&gt;"",RIGHT(Test!B215,LEN(Test!B215)-FIND(",",Test!B215,FIND(",",Test!B215)+1)),IF(Test!A215&lt;&gt;"",MID(Test!A215,FIND(",",Test!A215,FIND(",",Test!A215,FIND(",",Test!A215)+1)+1)+1,LEN(Test!A215)-FIND(",",Test!A215,FIND(",",Test!A215,FIND(",",Test!A215)+1)+1)),""))) &amp; IF(Test!C215&lt;&gt;"", " " &amp; SUBSTITUTE(Test!C215,"-",""), "")</f>
        <v/>
      </c>
    </row>
    <row r="216" spans="1:3" x14ac:dyDescent="0.25">
      <c r="A216" t="str">
        <f>IF(Test!A216="", "", IF(ISNUMBER(FIND("Query",Test!A216)), "AS Query ZMMIMR91 , ZGRIR_ALV", IF(LEFT(Test!A216,1)="7", "AS " &amp; Test!A216, "AS " &amp; IF(Test!B216="",SUBSTITUTE(MID(Test!A216,FIND(",",Test!A216)+1,FIND(",",Test!A216,FIND(",",Test!A216)+1)-FIND(",",Test!A216)-1),"Cube ",""),LEFT(Test!B216,FIND(",",Test!B216)-1)))))</f>
        <v/>
      </c>
      <c r="B216" t="str">
        <f>IF(ISNUMBER(SEARCH("Query", Test!A216)), MID(Test!A216,FIND(",", Test!A216,FIND(",", Test!A216,FIND(",", Test!A216)+1)+1)+1, FIND(",", Test!A216,FIND(",", Test!A216,FIND(",", Test!A216,FIND(",", Test!A216)+1)+1)+1)-FIND(",", Test!A216,FIND(",", Test!A216,FIND(",", Test!A216)+1)+1)-1), IF(Test!B216&lt;&gt;"",MID(Test!B216,FIND(",",Test!B216)+1,FIND(",",Test!B216,FIND(",",Test!B216)+1)-FIND(",",Test!B216)-1),IF(Test!A216&lt;&gt;"",MID(Test!A216,FIND(",",Test!A216,FIND(",",Test!A216)+1)+1,FIND(",",Test!A216,FIND(",",Test!A216,FIND(",",Test!A216)+1)+1)-FIND(",",Test!A216,FIND(",",Test!A216)+1)-1),"")))</f>
        <v/>
      </c>
      <c r="C216" t="str">
        <f>IF(ISNUMBER(FIND("Query",Test!A216)),RIGHT(Test!A216,LEN(Test!A216)-FIND(",",Test!A216,FIND(",",Test!A216,FIND(",",Test!A216,FIND(",",Test!A216)+1)+1)+1)),IF(Test!B216&lt;&gt;"",RIGHT(Test!B216,LEN(Test!B216)-FIND(",",Test!B216,FIND(",",Test!B216)+1)),IF(Test!A216&lt;&gt;"",MID(Test!A216,FIND(",",Test!A216,FIND(",",Test!A216,FIND(",",Test!A216)+1)+1)+1,LEN(Test!A216)-FIND(",",Test!A216,FIND(",",Test!A216,FIND(",",Test!A216)+1)+1)),""))) &amp; IF(Test!C216&lt;&gt;"", " " &amp; SUBSTITUTE(Test!C216,"-",""), "")</f>
        <v/>
      </c>
    </row>
    <row r="217" spans="1:3" x14ac:dyDescent="0.25">
      <c r="A217" t="str">
        <f>IF(Test!A217="", "", IF(ISNUMBER(FIND("Query",Test!A217)), "AS Query ZMMIMR91 , ZGRIR_ALV", IF(LEFT(Test!A217,1)="7", "AS " &amp; Test!A217, "AS " &amp; IF(Test!B217="",SUBSTITUTE(MID(Test!A217,FIND(",",Test!A217)+1,FIND(",",Test!A217,FIND(",",Test!A217)+1)-FIND(",",Test!A217)-1),"Cube ",""),LEFT(Test!B217,FIND(",",Test!B217)-1)))))</f>
        <v/>
      </c>
      <c r="B217" t="str">
        <f>IF(ISNUMBER(SEARCH("Query", Test!A217)), MID(Test!A217,FIND(",", Test!A217,FIND(",", Test!A217,FIND(",", Test!A217)+1)+1)+1, FIND(",", Test!A217,FIND(",", Test!A217,FIND(",", Test!A217,FIND(",", Test!A217)+1)+1)+1)-FIND(",", Test!A217,FIND(",", Test!A217,FIND(",", Test!A217)+1)+1)-1), IF(Test!B217&lt;&gt;"",MID(Test!B217,FIND(",",Test!B217)+1,FIND(",",Test!B217,FIND(",",Test!B217)+1)-FIND(",",Test!B217)-1),IF(Test!A217&lt;&gt;"",MID(Test!A217,FIND(",",Test!A217,FIND(",",Test!A217)+1)+1,FIND(",",Test!A217,FIND(",",Test!A217,FIND(",",Test!A217)+1)+1)-FIND(",",Test!A217,FIND(",",Test!A217)+1)-1),"")))</f>
        <v/>
      </c>
      <c r="C217" t="str">
        <f>IF(ISNUMBER(FIND("Query",Test!A217)),RIGHT(Test!A217,LEN(Test!A217)-FIND(",",Test!A217,FIND(",",Test!A217,FIND(",",Test!A217,FIND(",",Test!A217)+1)+1)+1)),IF(Test!B217&lt;&gt;"",RIGHT(Test!B217,LEN(Test!B217)-FIND(",",Test!B217,FIND(",",Test!B217)+1)),IF(Test!A217&lt;&gt;"",MID(Test!A217,FIND(",",Test!A217,FIND(",",Test!A217,FIND(",",Test!A217)+1)+1)+1,LEN(Test!A217)-FIND(",",Test!A217,FIND(",",Test!A217,FIND(",",Test!A217)+1)+1)),""))) &amp; IF(Test!C217&lt;&gt;"", " " &amp; SUBSTITUTE(Test!C217,"-",""), "")</f>
        <v/>
      </c>
    </row>
    <row r="218" spans="1:3" x14ac:dyDescent="0.25">
      <c r="A218" t="str">
        <f>IF(Test!A218="", "", IF(ISNUMBER(FIND("Query",Test!A218)), "AS Query ZMMIMR91 , ZGRIR_ALV", IF(LEFT(Test!A218,1)="7", "AS " &amp; Test!A218, "AS " &amp; IF(Test!B218="",SUBSTITUTE(MID(Test!A218,FIND(",",Test!A218)+1,FIND(",",Test!A218,FIND(",",Test!A218)+1)-FIND(",",Test!A218)-1),"Cube ",""),LEFT(Test!B218,FIND(",",Test!B218)-1)))))</f>
        <v/>
      </c>
      <c r="B218" t="str">
        <f>IF(ISNUMBER(SEARCH("Query", Test!A218)), MID(Test!A218,FIND(",", Test!A218,FIND(",", Test!A218,FIND(",", Test!A218)+1)+1)+1, FIND(",", Test!A218,FIND(",", Test!A218,FIND(",", Test!A218,FIND(",", Test!A218)+1)+1)+1)-FIND(",", Test!A218,FIND(",", Test!A218,FIND(",", Test!A218)+1)+1)-1), IF(Test!B218&lt;&gt;"",MID(Test!B218,FIND(",",Test!B218)+1,FIND(",",Test!B218,FIND(",",Test!B218)+1)-FIND(",",Test!B218)-1),IF(Test!A218&lt;&gt;"",MID(Test!A218,FIND(",",Test!A218,FIND(",",Test!A218)+1)+1,FIND(",",Test!A218,FIND(",",Test!A218,FIND(",",Test!A218)+1)+1)-FIND(",",Test!A218,FIND(",",Test!A218)+1)-1),"")))</f>
        <v/>
      </c>
      <c r="C218" t="str">
        <f>IF(ISNUMBER(FIND("Query",Test!A218)),RIGHT(Test!A218,LEN(Test!A218)-FIND(",",Test!A218,FIND(",",Test!A218,FIND(",",Test!A218,FIND(",",Test!A218)+1)+1)+1)),IF(Test!B218&lt;&gt;"",RIGHT(Test!B218,LEN(Test!B218)-FIND(",",Test!B218,FIND(",",Test!B218)+1)),IF(Test!A218&lt;&gt;"",MID(Test!A218,FIND(",",Test!A218,FIND(",",Test!A218,FIND(",",Test!A218)+1)+1)+1,LEN(Test!A218)-FIND(",",Test!A218,FIND(",",Test!A218,FIND(",",Test!A218)+1)+1)),""))) &amp; IF(Test!C218&lt;&gt;"", " " &amp; SUBSTITUTE(Test!C218,"-",""), "")</f>
        <v/>
      </c>
    </row>
    <row r="219" spans="1:3" x14ac:dyDescent="0.25">
      <c r="A219" t="str">
        <f>IF(Test!A219="", "", IF(ISNUMBER(FIND("Query",Test!A219)), "AS Query ZMMIMR91 , ZGRIR_ALV", IF(LEFT(Test!A219,1)="7", "AS " &amp; Test!A219, "AS " &amp; IF(Test!B219="",SUBSTITUTE(MID(Test!A219,FIND(",",Test!A219)+1,FIND(",",Test!A219,FIND(",",Test!A219)+1)-FIND(",",Test!A219)-1),"Cube ",""),LEFT(Test!B219,FIND(",",Test!B219)-1)))))</f>
        <v/>
      </c>
      <c r="B219" t="str">
        <f>IF(ISNUMBER(SEARCH("Query", Test!A219)), MID(Test!A219,FIND(",", Test!A219,FIND(",", Test!A219,FIND(",", Test!A219)+1)+1)+1, FIND(",", Test!A219,FIND(",", Test!A219,FIND(",", Test!A219,FIND(",", Test!A219)+1)+1)+1)-FIND(",", Test!A219,FIND(",", Test!A219,FIND(",", Test!A219)+1)+1)-1), IF(Test!B219&lt;&gt;"",MID(Test!B219,FIND(",",Test!B219)+1,FIND(",",Test!B219,FIND(",",Test!B219)+1)-FIND(",",Test!B219)-1),IF(Test!A219&lt;&gt;"",MID(Test!A219,FIND(",",Test!A219,FIND(",",Test!A219)+1)+1,FIND(",",Test!A219,FIND(",",Test!A219,FIND(",",Test!A219)+1)+1)-FIND(",",Test!A219,FIND(",",Test!A219)+1)-1),"")))</f>
        <v/>
      </c>
      <c r="C219" t="str">
        <f>IF(ISNUMBER(FIND("Query",Test!A219)),RIGHT(Test!A219,LEN(Test!A219)-FIND(",",Test!A219,FIND(",",Test!A219,FIND(",",Test!A219,FIND(",",Test!A219)+1)+1)+1)),IF(Test!B219&lt;&gt;"",RIGHT(Test!B219,LEN(Test!B219)-FIND(",",Test!B219,FIND(",",Test!B219)+1)),IF(Test!A219&lt;&gt;"",MID(Test!A219,FIND(",",Test!A219,FIND(",",Test!A219,FIND(",",Test!A219)+1)+1)+1,LEN(Test!A219)-FIND(",",Test!A219,FIND(",",Test!A219,FIND(",",Test!A219)+1)+1)),""))) &amp; IF(Test!C219&lt;&gt;"", " " &amp; SUBSTITUTE(Test!C219,"-",""), "")</f>
        <v/>
      </c>
    </row>
    <row r="220" spans="1:3" x14ac:dyDescent="0.25">
      <c r="A220" t="str">
        <f>IF(Test!A220="", "", IF(ISNUMBER(FIND("Query",Test!A220)), "AS Query ZMMIMR91 , ZGRIR_ALV", IF(LEFT(Test!A220,1)="7", "AS " &amp; Test!A220, "AS " &amp; IF(Test!B220="",SUBSTITUTE(MID(Test!A220,FIND(",",Test!A220)+1,FIND(",",Test!A220,FIND(",",Test!A220)+1)-FIND(",",Test!A220)-1),"Cube ",""),LEFT(Test!B220,FIND(",",Test!B220)-1)))))</f>
        <v/>
      </c>
      <c r="B220" t="str">
        <f>IF(ISNUMBER(SEARCH("Query", Test!A220)), MID(Test!A220,FIND(",", Test!A220,FIND(",", Test!A220,FIND(",", Test!A220)+1)+1)+1, FIND(",", Test!A220,FIND(",", Test!A220,FIND(",", Test!A220,FIND(",", Test!A220)+1)+1)+1)-FIND(",", Test!A220,FIND(",", Test!A220,FIND(",", Test!A220)+1)+1)-1), IF(Test!B220&lt;&gt;"",MID(Test!B220,FIND(",",Test!B220)+1,FIND(",",Test!B220,FIND(",",Test!B220)+1)-FIND(",",Test!B220)-1),IF(Test!A220&lt;&gt;"",MID(Test!A220,FIND(",",Test!A220,FIND(",",Test!A220)+1)+1,FIND(",",Test!A220,FIND(",",Test!A220,FIND(",",Test!A220)+1)+1)-FIND(",",Test!A220,FIND(",",Test!A220)+1)-1),"")))</f>
        <v/>
      </c>
      <c r="C220" t="str">
        <f>IF(ISNUMBER(FIND("Query",Test!A220)),RIGHT(Test!A220,LEN(Test!A220)-FIND(",",Test!A220,FIND(",",Test!A220,FIND(",",Test!A220,FIND(",",Test!A220)+1)+1)+1)),IF(Test!B220&lt;&gt;"",RIGHT(Test!B220,LEN(Test!B220)-FIND(",",Test!B220,FIND(",",Test!B220)+1)),IF(Test!A220&lt;&gt;"",MID(Test!A220,FIND(",",Test!A220,FIND(",",Test!A220,FIND(",",Test!A220)+1)+1)+1,LEN(Test!A220)-FIND(",",Test!A220,FIND(",",Test!A220,FIND(",",Test!A220)+1)+1)),""))) &amp; IF(Test!C220&lt;&gt;"", " " &amp; SUBSTITUTE(Test!C220,"-",""), "")</f>
        <v/>
      </c>
    </row>
    <row r="221" spans="1:3" x14ac:dyDescent="0.25">
      <c r="A221" t="str">
        <f>IF(Test!A221="", "", IF(ISNUMBER(FIND("Query",Test!A221)), "AS Query ZMMIMR91 , ZGRIR_ALV", IF(LEFT(Test!A221,1)="7", "AS " &amp; Test!A221, "AS " &amp; IF(Test!B221="",SUBSTITUTE(MID(Test!A221,FIND(",",Test!A221)+1,FIND(",",Test!A221,FIND(",",Test!A221)+1)-FIND(",",Test!A221)-1),"Cube ",""),LEFT(Test!B221,FIND(",",Test!B221)-1)))))</f>
        <v/>
      </c>
      <c r="B221" t="str">
        <f>IF(ISNUMBER(SEARCH("Query", Test!A221)), MID(Test!A221,FIND(",", Test!A221,FIND(",", Test!A221,FIND(",", Test!A221)+1)+1)+1, FIND(",", Test!A221,FIND(",", Test!A221,FIND(",", Test!A221,FIND(",", Test!A221)+1)+1)+1)-FIND(",", Test!A221,FIND(",", Test!A221,FIND(",", Test!A221)+1)+1)-1), IF(Test!B221&lt;&gt;"",MID(Test!B221,FIND(",",Test!B221)+1,FIND(",",Test!B221,FIND(",",Test!B221)+1)-FIND(",",Test!B221)-1),IF(Test!A221&lt;&gt;"",MID(Test!A221,FIND(",",Test!A221,FIND(",",Test!A221)+1)+1,FIND(",",Test!A221,FIND(",",Test!A221,FIND(",",Test!A221)+1)+1)-FIND(",",Test!A221,FIND(",",Test!A221)+1)-1),"")))</f>
        <v/>
      </c>
      <c r="C221" t="str">
        <f>IF(ISNUMBER(FIND("Query",Test!A221)),RIGHT(Test!A221,LEN(Test!A221)-FIND(",",Test!A221,FIND(",",Test!A221,FIND(",",Test!A221,FIND(",",Test!A221)+1)+1)+1)),IF(Test!B221&lt;&gt;"",RIGHT(Test!B221,LEN(Test!B221)-FIND(",",Test!B221,FIND(",",Test!B221)+1)),IF(Test!A221&lt;&gt;"",MID(Test!A221,FIND(",",Test!A221,FIND(",",Test!A221,FIND(",",Test!A221)+1)+1)+1,LEN(Test!A221)-FIND(",",Test!A221,FIND(",",Test!A221,FIND(",",Test!A221)+1)+1)),""))) &amp; IF(Test!C221&lt;&gt;"", " " &amp; SUBSTITUTE(Test!C221,"-",""), "")</f>
        <v/>
      </c>
    </row>
    <row r="222" spans="1:3" x14ac:dyDescent="0.25">
      <c r="A222" t="str">
        <f>IF(Test!A222="", "", IF(ISNUMBER(FIND("Query",Test!A222)), "AS Query ZMMIMR91 , ZGRIR_ALV", IF(LEFT(Test!A222,1)="7", "AS " &amp; Test!A222, "AS " &amp; IF(Test!B222="",SUBSTITUTE(MID(Test!A222,FIND(",",Test!A222)+1,FIND(",",Test!A222,FIND(",",Test!A222)+1)-FIND(",",Test!A222)-1),"Cube ",""),LEFT(Test!B222,FIND(",",Test!B222)-1)))))</f>
        <v/>
      </c>
      <c r="B222" t="str">
        <f>IF(ISNUMBER(SEARCH("Query", Test!A222)), MID(Test!A222,FIND(",", Test!A222,FIND(",", Test!A222,FIND(",", Test!A222)+1)+1)+1, FIND(",", Test!A222,FIND(",", Test!A222,FIND(",", Test!A222,FIND(",", Test!A222)+1)+1)+1)-FIND(",", Test!A222,FIND(",", Test!A222,FIND(",", Test!A222)+1)+1)-1), IF(Test!B222&lt;&gt;"",MID(Test!B222,FIND(",",Test!B222)+1,FIND(",",Test!B222,FIND(",",Test!B222)+1)-FIND(",",Test!B222)-1),IF(Test!A222&lt;&gt;"",MID(Test!A222,FIND(",",Test!A222,FIND(",",Test!A222)+1)+1,FIND(",",Test!A222,FIND(",",Test!A222,FIND(",",Test!A222)+1)+1)-FIND(",",Test!A222,FIND(",",Test!A222)+1)-1),"")))</f>
        <v/>
      </c>
      <c r="C222" t="str">
        <f>IF(ISNUMBER(FIND("Query",Test!A222)),RIGHT(Test!A222,LEN(Test!A222)-FIND(",",Test!A222,FIND(",",Test!A222,FIND(",",Test!A222,FIND(",",Test!A222)+1)+1)+1)),IF(Test!B222&lt;&gt;"",RIGHT(Test!B222,LEN(Test!B222)-FIND(",",Test!B222,FIND(",",Test!B222)+1)),IF(Test!A222&lt;&gt;"",MID(Test!A222,FIND(",",Test!A222,FIND(",",Test!A222,FIND(",",Test!A222)+1)+1)+1,LEN(Test!A222)-FIND(",",Test!A222,FIND(",",Test!A222,FIND(",",Test!A222)+1)+1)),""))) &amp; IF(Test!C222&lt;&gt;"", " " &amp; SUBSTITUTE(Test!C222,"-",""), "")</f>
        <v/>
      </c>
    </row>
    <row r="223" spans="1:3" x14ac:dyDescent="0.25">
      <c r="A223" t="str">
        <f>IF(Test!A223="", "", IF(ISNUMBER(FIND("Query",Test!A223)), "AS Query ZMMIMR91 , ZGRIR_ALV", IF(LEFT(Test!A223,1)="7", "AS " &amp; Test!A223, "AS " &amp; IF(Test!B223="",SUBSTITUTE(MID(Test!A223,FIND(",",Test!A223)+1,FIND(",",Test!A223,FIND(",",Test!A223)+1)-FIND(",",Test!A223)-1),"Cube ",""),LEFT(Test!B223,FIND(",",Test!B223)-1)))))</f>
        <v/>
      </c>
      <c r="B223" t="str">
        <f>IF(ISNUMBER(SEARCH("Query", Test!A223)), MID(Test!A223,FIND(",", Test!A223,FIND(",", Test!A223,FIND(",", Test!A223)+1)+1)+1, FIND(",", Test!A223,FIND(",", Test!A223,FIND(",", Test!A223,FIND(",", Test!A223)+1)+1)+1)-FIND(",", Test!A223,FIND(",", Test!A223,FIND(",", Test!A223)+1)+1)-1), IF(Test!B223&lt;&gt;"",MID(Test!B223,FIND(",",Test!B223)+1,FIND(",",Test!B223,FIND(",",Test!B223)+1)-FIND(",",Test!B223)-1),IF(Test!A223&lt;&gt;"",MID(Test!A223,FIND(",",Test!A223,FIND(",",Test!A223)+1)+1,FIND(",",Test!A223,FIND(",",Test!A223,FIND(",",Test!A223)+1)+1)-FIND(",",Test!A223,FIND(",",Test!A223)+1)-1),"")))</f>
        <v/>
      </c>
      <c r="C223" t="str">
        <f>IF(ISNUMBER(FIND("Query",Test!A223)),RIGHT(Test!A223,LEN(Test!A223)-FIND(",",Test!A223,FIND(",",Test!A223,FIND(",",Test!A223,FIND(",",Test!A223)+1)+1)+1)),IF(Test!B223&lt;&gt;"",RIGHT(Test!B223,LEN(Test!B223)-FIND(",",Test!B223,FIND(",",Test!B223)+1)),IF(Test!A223&lt;&gt;"",MID(Test!A223,FIND(",",Test!A223,FIND(",",Test!A223,FIND(",",Test!A223)+1)+1)+1,LEN(Test!A223)-FIND(",",Test!A223,FIND(",",Test!A223,FIND(",",Test!A223)+1)+1)),""))) &amp; IF(Test!C223&lt;&gt;"", " " &amp; SUBSTITUTE(Test!C223,"-",""), "")</f>
        <v/>
      </c>
    </row>
    <row r="224" spans="1:3" x14ac:dyDescent="0.25">
      <c r="A224" t="str">
        <f>IF(Test!A224="", "", IF(ISNUMBER(FIND("Query",Test!A224)), "AS Query ZMMIMR91 , ZGRIR_ALV", IF(LEFT(Test!A224,1)="7", "AS " &amp; Test!A224, "AS " &amp; IF(Test!B224="",SUBSTITUTE(MID(Test!A224,FIND(",",Test!A224)+1,FIND(",",Test!A224,FIND(",",Test!A224)+1)-FIND(",",Test!A224)-1),"Cube ",""),LEFT(Test!B224,FIND(",",Test!B224)-1)))))</f>
        <v/>
      </c>
      <c r="B224" t="str">
        <f>IF(ISNUMBER(SEARCH("Query", Test!A224)), MID(Test!A224,FIND(",", Test!A224,FIND(",", Test!A224,FIND(",", Test!A224)+1)+1)+1, FIND(",", Test!A224,FIND(",", Test!A224,FIND(",", Test!A224,FIND(",", Test!A224)+1)+1)+1)-FIND(",", Test!A224,FIND(",", Test!A224,FIND(",", Test!A224)+1)+1)-1), IF(Test!B224&lt;&gt;"",MID(Test!B224,FIND(",",Test!B224)+1,FIND(",",Test!B224,FIND(",",Test!B224)+1)-FIND(",",Test!B224)-1),IF(Test!A224&lt;&gt;"",MID(Test!A224,FIND(",",Test!A224,FIND(",",Test!A224)+1)+1,FIND(",",Test!A224,FIND(",",Test!A224,FIND(",",Test!A224)+1)+1)-FIND(",",Test!A224,FIND(",",Test!A224)+1)-1),"")))</f>
        <v/>
      </c>
      <c r="C224" t="str">
        <f>IF(ISNUMBER(FIND("Query",Test!A224)),RIGHT(Test!A224,LEN(Test!A224)-FIND(",",Test!A224,FIND(",",Test!A224,FIND(",",Test!A224,FIND(",",Test!A224)+1)+1)+1)),IF(Test!B224&lt;&gt;"",RIGHT(Test!B224,LEN(Test!B224)-FIND(",",Test!B224,FIND(",",Test!B224)+1)),IF(Test!A224&lt;&gt;"",MID(Test!A224,FIND(",",Test!A224,FIND(",",Test!A224,FIND(",",Test!A224)+1)+1)+1,LEN(Test!A224)-FIND(",",Test!A224,FIND(",",Test!A224,FIND(",",Test!A224)+1)+1)),""))) &amp; IF(Test!C224&lt;&gt;"", " " &amp; SUBSTITUTE(Test!C224,"-",""), "")</f>
        <v/>
      </c>
    </row>
    <row r="225" spans="1:3" x14ac:dyDescent="0.25">
      <c r="A225" t="str">
        <f>IF(Test!A225="", "", IF(ISNUMBER(FIND("Query",Test!A225)), "AS Query ZMMIMR91 , ZGRIR_ALV", IF(LEFT(Test!A225,1)="7", "AS " &amp; Test!A225, "AS " &amp; IF(Test!B225="",SUBSTITUTE(MID(Test!A225,FIND(",",Test!A225)+1,FIND(",",Test!A225,FIND(",",Test!A225)+1)-FIND(",",Test!A225)-1),"Cube ",""),LEFT(Test!B225,FIND(",",Test!B225)-1)))))</f>
        <v/>
      </c>
      <c r="B225" t="str">
        <f>IF(ISNUMBER(SEARCH("Query", Test!A225)), MID(Test!A225,FIND(",", Test!A225,FIND(",", Test!A225,FIND(",", Test!A225)+1)+1)+1, FIND(",", Test!A225,FIND(",", Test!A225,FIND(",", Test!A225,FIND(",", Test!A225)+1)+1)+1)-FIND(",", Test!A225,FIND(",", Test!A225,FIND(",", Test!A225)+1)+1)-1), IF(Test!B225&lt;&gt;"",MID(Test!B225,FIND(",",Test!B225)+1,FIND(",",Test!B225,FIND(",",Test!B225)+1)-FIND(",",Test!B225)-1),IF(Test!A225&lt;&gt;"",MID(Test!A225,FIND(",",Test!A225,FIND(",",Test!A225)+1)+1,FIND(",",Test!A225,FIND(",",Test!A225,FIND(",",Test!A225)+1)+1)-FIND(",",Test!A225,FIND(",",Test!A225)+1)-1),"")))</f>
        <v/>
      </c>
      <c r="C225" t="str">
        <f>IF(ISNUMBER(FIND("Query",Test!A225)),RIGHT(Test!A225,LEN(Test!A225)-FIND(",",Test!A225,FIND(",",Test!A225,FIND(",",Test!A225,FIND(",",Test!A225)+1)+1)+1)),IF(Test!B225&lt;&gt;"",RIGHT(Test!B225,LEN(Test!B225)-FIND(",",Test!B225,FIND(",",Test!B225)+1)),IF(Test!A225&lt;&gt;"",MID(Test!A225,FIND(",",Test!A225,FIND(",",Test!A225,FIND(",",Test!A225)+1)+1)+1,LEN(Test!A225)-FIND(",",Test!A225,FIND(",",Test!A225,FIND(",",Test!A225)+1)+1)),""))) &amp; IF(Test!C225&lt;&gt;"", " " &amp; SUBSTITUTE(Test!C225,"-",""), "")</f>
        <v/>
      </c>
    </row>
    <row r="226" spans="1:3" x14ac:dyDescent="0.25">
      <c r="A226" t="str">
        <f>IF(Test!A226="", "", IF(ISNUMBER(FIND("Query",Test!A226)), "AS Query ZMMIMR91 , ZGRIR_ALV", IF(LEFT(Test!A226,1)="7", "AS " &amp; Test!A226, "AS " &amp; IF(Test!B226="",SUBSTITUTE(MID(Test!A226,FIND(",",Test!A226)+1,FIND(",",Test!A226,FIND(",",Test!A226)+1)-FIND(",",Test!A226)-1),"Cube ",""),LEFT(Test!B226,FIND(",",Test!B226)-1)))))</f>
        <v/>
      </c>
      <c r="B226" t="str">
        <f>IF(ISNUMBER(SEARCH("Query", Test!A226)), MID(Test!A226,FIND(",", Test!A226,FIND(",", Test!A226,FIND(",", Test!A226)+1)+1)+1, FIND(",", Test!A226,FIND(",", Test!A226,FIND(",", Test!A226,FIND(",", Test!A226)+1)+1)+1)-FIND(",", Test!A226,FIND(",", Test!A226,FIND(",", Test!A226)+1)+1)-1), IF(Test!B226&lt;&gt;"",MID(Test!B226,FIND(",",Test!B226)+1,FIND(",",Test!B226,FIND(",",Test!B226)+1)-FIND(",",Test!B226)-1),IF(Test!A226&lt;&gt;"",MID(Test!A226,FIND(",",Test!A226,FIND(",",Test!A226)+1)+1,FIND(",",Test!A226,FIND(",",Test!A226,FIND(",",Test!A226)+1)+1)-FIND(",",Test!A226,FIND(",",Test!A226)+1)-1),"")))</f>
        <v/>
      </c>
      <c r="C226" t="str">
        <f>IF(ISNUMBER(FIND("Query",Test!A226)),RIGHT(Test!A226,LEN(Test!A226)-FIND(",",Test!A226,FIND(",",Test!A226,FIND(",",Test!A226,FIND(",",Test!A226)+1)+1)+1)),IF(Test!B226&lt;&gt;"",RIGHT(Test!B226,LEN(Test!B226)-FIND(",",Test!B226,FIND(",",Test!B226)+1)),IF(Test!A226&lt;&gt;"",MID(Test!A226,FIND(",",Test!A226,FIND(",",Test!A226,FIND(",",Test!A226)+1)+1)+1,LEN(Test!A226)-FIND(",",Test!A226,FIND(",",Test!A226,FIND(",",Test!A226)+1)+1)),""))) &amp; IF(Test!C226&lt;&gt;"", " " &amp; SUBSTITUTE(Test!C226,"-",""), "")</f>
        <v/>
      </c>
    </row>
    <row r="227" spans="1:3" x14ac:dyDescent="0.25">
      <c r="A227" t="str">
        <f>IF(Test!A227="", "", IF(ISNUMBER(FIND("Query",Test!A227)), "AS Query ZMMIMR91 , ZGRIR_ALV", IF(LEFT(Test!A227,1)="7", "AS " &amp; Test!A227, "AS " &amp; IF(Test!B227="",SUBSTITUTE(MID(Test!A227,FIND(",",Test!A227)+1,FIND(",",Test!A227,FIND(",",Test!A227)+1)-FIND(",",Test!A227)-1),"Cube ",""),LEFT(Test!B227,FIND(",",Test!B227)-1)))))</f>
        <v/>
      </c>
      <c r="B227" t="str">
        <f>IF(ISNUMBER(SEARCH("Query", Test!A227)), MID(Test!A227,FIND(",", Test!A227,FIND(",", Test!A227,FIND(",", Test!A227)+1)+1)+1, FIND(",", Test!A227,FIND(",", Test!A227,FIND(",", Test!A227,FIND(",", Test!A227)+1)+1)+1)-FIND(",", Test!A227,FIND(",", Test!A227,FIND(",", Test!A227)+1)+1)-1), IF(Test!B227&lt;&gt;"",MID(Test!B227,FIND(",",Test!B227)+1,FIND(",",Test!B227,FIND(",",Test!B227)+1)-FIND(",",Test!B227)-1),IF(Test!A227&lt;&gt;"",MID(Test!A227,FIND(",",Test!A227,FIND(",",Test!A227)+1)+1,FIND(",",Test!A227,FIND(",",Test!A227,FIND(",",Test!A227)+1)+1)-FIND(",",Test!A227,FIND(",",Test!A227)+1)-1),"")))</f>
        <v/>
      </c>
      <c r="C227" t="str">
        <f>IF(ISNUMBER(FIND("Query",Test!A227)),RIGHT(Test!A227,LEN(Test!A227)-FIND(",",Test!A227,FIND(",",Test!A227,FIND(",",Test!A227,FIND(",",Test!A227)+1)+1)+1)),IF(Test!B227&lt;&gt;"",RIGHT(Test!B227,LEN(Test!B227)-FIND(",",Test!B227,FIND(",",Test!B227)+1)),IF(Test!A227&lt;&gt;"",MID(Test!A227,FIND(",",Test!A227,FIND(",",Test!A227,FIND(",",Test!A227)+1)+1)+1,LEN(Test!A227)-FIND(",",Test!A227,FIND(",",Test!A227,FIND(",",Test!A227)+1)+1)),""))) &amp; IF(Test!C227&lt;&gt;"", " " &amp; SUBSTITUTE(Test!C227,"-",""), "")</f>
        <v/>
      </c>
    </row>
    <row r="228" spans="1:3" x14ac:dyDescent="0.25">
      <c r="A228" t="str">
        <f>IF(Test!A228="", "", IF(ISNUMBER(FIND("Query",Test!A228)), "AS Query ZMMIMR91 , ZGRIR_ALV", IF(LEFT(Test!A228,1)="7", "AS " &amp; Test!A228, "AS " &amp; IF(Test!B228="",SUBSTITUTE(MID(Test!A228,FIND(",",Test!A228)+1,FIND(",",Test!A228,FIND(",",Test!A228)+1)-FIND(",",Test!A228)-1),"Cube ",""),LEFT(Test!B228,FIND(",",Test!B228)-1)))))</f>
        <v/>
      </c>
      <c r="B228" t="str">
        <f>IF(ISNUMBER(SEARCH("Query", Test!A228)), MID(Test!A228,FIND(",", Test!A228,FIND(",", Test!A228,FIND(",", Test!A228)+1)+1)+1, FIND(",", Test!A228,FIND(",", Test!A228,FIND(",", Test!A228,FIND(",", Test!A228)+1)+1)+1)-FIND(",", Test!A228,FIND(",", Test!A228,FIND(",", Test!A228)+1)+1)-1), IF(Test!B228&lt;&gt;"",MID(Test!B228,FIND(",",Test!B228)+1,FIND(",",Test!B228,FIND(",",Test!B228)+1)-FIND(",",Test!B228)-1),IF(Test!A228&lt;&gt;"",MID(Test!A228,FIND(",",Test!A228,FIND(",",Test!A228)+1)+1,FIND(",",Test!A228,FIND(",",Test!A228,FIND(",",Test!A228)+1)+1)-FIND(",",Test!A228,FIND(",",Test!A228)+1)-1),"")))</f>
        <v/>
      </c>
      <c r="C228" t="str">
        <f>IF(ISNUMBER(FIND("Query",Test!A228)),RIGHT(Test!A228,LEN(Test!A228)-FIND(",",Test!A228,FIND(",",Test!A228,FIND(",",Test!A228,FIND(",",Test!A228)+1)+1)+1)),IF(Test!B228&lt;&gt;"",RIGHT(Test!B228,LEN(Test!B228)-FIND(",",Test!B228,FIND(",",Test!B228)+1)),IF(Test!A228&lt;&gt;"",MID(Test!A228,FIND(",",Test!A228,FIND(",",Test!A228,FIND(",",Test!A228)+1)+1)+1,LEN(Test!A228)-FIND(",",Test!A228,FIND(",",Test!A228,FIND(",",Test!A228)+1)+1)),""))) &amp; IF(Test!C228&lt;&gt;"", " " &amp; SUBSTITUTE(Test!C228,"-",""), "")</f>
        <v/>
      </c>
    </row>
    <row r="229" spans="1:3" x14ac:dyDescent="0.25">
      <c r="A229" t="str">
        <f>IF(Test!A229="", "", IF(ISNUMBER(FIND("Query",Test!A229)), "AS Query ZMMIMR91 , ZGRIR_ALV", IF(LEFT(Test!A229,1)="7", "AS " &amp; Test!A229, "AS " &amp; IF(Test!B229="",SUBSTITUTE(MID(Test!A229,FIND(",",Test!A229)+1,FIND(",",Test!A229,FIND(",",Test!A229)+1)-FIND(",",Test!A229)-1),"Cube ",""),LEFT(Test!B229,FIND(",",Test!B229)-1)))))</f>
        <v/>
      </c>
      <c r="B229" t="str">
        <f>IF(ISNUMBER(SEARCH("Query", Test!A229)), MID(Test!A229,FIND(",", Test!A229,FIND(",", Test!A229,FIND(",", Test!A229)+1)+1)+1, FIND(",", Test!A229,FIND(",", Test!A229,FIND(",", Test!A229,FIND(",", Test!A229)+1)+1)+1)-FIND(",", Test!A229,FIND(",", Test!A229,FIND(",", Test!A229)+1)+1)-1), IF(Test!B229&lt;&gt;"",MID(Test!B229,FIND(",",Test!B229)+1,FIND(",",Test!B229,FIND(",",Test!B229)+1)-FIND(",",Test!B229)-1),IF(Test!A229&lt;&gt;"",MID(Test!A229,FIND(",",Test!A229,FIND(",",Test!A229)+1)+1,FIND(",",Test!A229,FIND(",",Test!A229,FIND(",",Test!A229)+1)+1)-FIND(",",Test!A229,FIND(",",Test!A229)+1)-1),"")))</f>
        <v/>
      </c>
      <c r="C229" t="str">
        <f>IF(ISNUMBER(FIND("Query",Test!A229)),RIGHT(Test!A229,LEN(Test!A229)-FIND(",",Test!A229,FIND(",",Test!A229,FIND(",",Test!A229,FIND(",",Test!A229)+1)+1)+1)),IF(Test!B229&lt;&gt;"",RIGHT(Test!B229,LEN(Test!B229)-FIND(",",Test!B229,FIND(",",Test!B229)+1)),IF(Test!A229&lt;&gt;"",MID(Test!A229,FIND(",",Test!A229,FIND(",",Test!A229,FIND(",",Test!A229)+1)+1)+1,LEN(Test!A229)-FIND(",",Test!A229,FIND(",",Test!A229,FIND(",",Test!A229)+1)+1)),""))) &amp; IF(Test!C229&lt;&gt;"", " " &amp; SUBSTITUTE(Test!C229,"-",""), "")</f>
        <v/>
      </c>
    </row>
    <row r="230" spans="1:3" x14ac:dyDescent="0.25">
      <c r="A230" t="str">
        <f>IF(Test!A230="", "", IF(ISNUMBER(FIND("Query",Test!A230)), "AS Query ZMMIMR91 , ZGRIR_ALV", IF(LEFT(Test!A230,1)="7", "AS " &amp; Test!A230, "AS " &amp; IF(Test!B230="",SUBSTITUTE(MID(Test!A230,FIND(",",Test!A230)+1,FIND(",",Test!A230,FIND(",",Test!A230)+1)-FIND(",",Test!A230)-1),"Cube ",""),LEFT(Test!B230,FIND(",",Test!B230)-1)))))</f>
        <v/>
      </c>
      <c r="B230" t="str">
        <f>IF(ISNUMBER(SEARCH("Query", Test!A230)), MID(Test!A230,FIND(",", Test!A230,FIND(",", Test!A230,FIND(",", Test!A230)+1)+1)+1, FIND(",", Test!A230,FIND(",", Test!A230,FIND(",", Test!A230,FIND(",", Test!A230)+1)+1)+1)-FIND(",", Test!A230,FIND(",", Test!A230,FIND(",", Test!A230)+1)+1)-1), IF(Test!B230&lt;&gt;"",MID(Test!B230,FIND(",",Test!B230)+1,FIND(",",Test!B230,FIND(",",Test!B230)+1)-FIND(",",Test!B230)-1),IF(Test!A230&lt;&gt;"",MID(Test!A230,FIND(",",Test!A230,FIND(",",Test!A230)+1)+1,FIND(",",Test!A230,FIND(",",Test!A230,FIND(",",Test!A230)+1)+1)-FIND(",",Test!A230,FIND(",",Test!A230)+1)-1),"")))</f>
        <v/>
      </c>
      <c r="C230" t="str">
        <f>IF(ISNUMBER(FIND("Query",Test!A230)),RIGHT(Test!A230,LEN(Test!A230)-FIND(",",Test!A230,FIND(",",Test!A230,FIND(",",Test!A230,FIND(",",Test!A230)+1)+1)+1)),IF(Test!B230&lt;&gt;"",RIGHT(Test!B230,LEN(Test!B230)-FIND(",",Test!B230,FIND(",",Test!B230)+1)),IF(Test!A230&lt;&gt;"",MID(Test!A230,FIND(",",Test!A230,FIND(",",Test!A230,FIND(",",Test!A230)+1)+1)+1,LEN(Test!A230)-FIND(",",Test!A230,FIND(",",Test!A230,FIND(",",Test!A230)+1)+1)),""))) &amp; IF(Test!C230&lt;&gt;"", " " &amp; SUBSTITUTE(Test!C230,"-",""), "")</f>
        <v/>
      </c>
    </row>
    <row r="231" spans="1:3" x14ac:dyDescent="0.25">
      <c r="A231" t="str">
        <f>IF(Test!A231="", "", IF(ISNUMBER(FIND("Query",Test!A231)), "AS Query ZMMIMR91 , ZGRIR_ALV", IF(LEFT(Test!A231,1)="7", "AS " &amp; Test!A231, "AS " &amp; IF(Test!B231="",SUBSTITUTE(MID(Test!A231,FIND(",",Test!A231)+1,FIND(",",Test!A231,FIND(",",Test!A231)+1)-FIND(",",Test!A231)-1),"Cube ",""),LEFT(Test!B231,FIND(",",Test!B231)-1)))))</f>
        <v/>
      </c>
      <c r="B231" t="str">
        <f>IF(ISNUMBER(SEARCH("Query", Test!A231)), MID(Test!A231,FIND(",", Test!A231,FIND(",", Test!A231,FIND(",", Test!A231)+1)+1)+1, FIND(",", Test!A231,FIND(",", Test!A231,FIND(",", Test!A231,FIND(",", Test!A231)+1)+1)+1)-FIND(",", Test!A231,FIND(",", Test!A231,FIND(",", Test!A231)+1)+1)-1), IF(Test!B231&lt;&gt;"",MID(Test!B231,FIND(",",Test!B231)+1,FIND(",",Test!B231,FIND(",",Test!B231)+1)-FIND(",",Test!B231)-1),IF(Test!A231&lt;&gt;"",MID(Test!A231,FIND(",",Test!A231,FIND(",",Test!A231)+1)+1,FIND(",",Test!A231,FIND(",",Test!A231,FIND(",",Test!A231)+1)+1)-FIND(",",Test!A231,FIND(",",Test!A231)+1)-1),"")))</f>
        <v/>
      </c>
      <c r="C231" t="str">
        <f>IF(ISNUMBER(FIND("Query",Test!A231)),RIGHT(Test!A231,LEN(Test!A231)-FIND(",",Test!A231,FIND(",",Test!A231,FIND(",",Test!A231,FIND(",",Test!A231)+1)+1)+1)),IF(Test!B231&lt;&gt;"",RIGHT(Test!B231,LEN(Test!B231)-FIND(",",Test!B231,FIND(",",Test!B231)+1)),IF(Test!A231&lt;&gt;"",MID(Test!A231,FIND(",",Test!A231,FIND(",",Test!A231,FIND(",",Test!A231)+1)+1)+1,LEN(Test!A231)-FIND(",",Test!A231,FIND(",",Test!A231,FIND(",",Test!A231)+1)+1)),""))) &amp; IF(Test!C231&lt;&gt;"", " " &amp; SUBSTITUTE(Test!C231,"-",""), "")</f>
        <v/>
      </c>
    </row>
    <row r="232" spans="1:3" x14ac:dyDescent="0.25">
      <c r="A232" t="str">
        <f>IF(Test!A232="", "", IF(ISNUMBER(FIND("Query",Test!A232)), "AS Query ZMMIMR91 , ZGRIR_ALV", IF(LEFT(Test!A232,1)="7", "AS " &amp; Test!A232, "AS " &amp; IF(Test!B232="",SUBSTITUTE(MID(Test!A232,FIND(",",Test!A232)+1,FIND(",",Test!A232,FIND(",",Test!A232)+1)-FIND(",",Test!A232)-1),"Cube ",""),LEFT(Test!B232,FIND(",",Test!B232)-1)))))</f>
        <v/>
      </c>
      <c r="B232" t="str">
        <f>IF(ISNUMBER(SEARCH("Query", Test!A232)), MID(Test!A232,FIND(",", Test!A232,FIND(",", Test!A232,FIND(",", Test!A232)+1)+1)+1, FIND(",", Test!A232,FIND(",", Test!A232,FIND(",", Test!A232,FIND(",", Test!A232)+1)+1)+1)-FIND(",", Test!A232,FIND(",", Test!A232,FIND(",", Test!A232)+1)+1)-1), IF(Test!B232&lt;&gt;"",MID(Test!B232,FIND(",",Test!B232)+1,FIND(",",Test!B232,FIND(",",Test!B232)+1)-FIND(",",Test!B232)-1),IF(Test!A232&lt;&gt;"",MID(Test!A232,FIND(",",Test!A232,FIND(",",Test!A232)+1)+1,FIND(",",Test!A232,FIND(",",Test!A232,FIND(",",Test!A232)+1)+1)-FIND(",",Test!A232,FIND(",",Test!A232)+1)-1),"")))</f>
        <v/>
      </c>
      <c r="C232" t="str">
        <f>IF(ISNUMBER(FIND("Query",Test!A232)),RIGHT(Test!A232,LEN(Test!A232)-FIND(",",Test!A232,FIND(",",Test!A232,FIND(",",Test!A232,FIND(",",Test!A232)+1)+1)+1)),IF(Test!B232&lt;&gt;"",RIGHT(Test!B232,LEN(Test!B232)-FIND(",",Test!B232,FIND(",",Test!B232)+1)),IF(Test!A232&lt;&gt;"",MID(Test!A232,FIND(",",Test!A232,FIND(",",Test!A232,FIND(",",Test!A232)+1)+1)+1,LEN(Test!A232)-FIND(",",Test!A232,FIND(",",Test!A232,FIND(",",Test!A232)+1)+1)),""))) &amp; IF(Test!C232&lt;&gt;"", " " &amp; SUBSTITUTE(Test!C232,"-",""), "")</f>
        <v/>
      </c>
    </row>
    <row r="233" spans="1:3" x14ac:dyDescent="0.25">
      <c r="A233" t="str">
        <f>IF(Test!A233="", "", IF(ISNUMBER(FIND("Query",Test!A233)), "AS Query ZMMIMR91 , ZGRIR_ALV", IF(LEFT(Test!A233,1)="7", "AS " &amp; Test!A233, "AS " &amp; IF(Test!B233="",SUBSTITUTE(MID(Test!A233,FIND(",",Test!A233)+1,FIND(",",Test!A233,FIND(",",Test!A233)+1)-FIND(",",Test!A233)-1),"Cube ",""),LEFT(Test!B233,FIND(",",Test!B233)-1)))))</f>
        <v/>
      </c>
      <c r="B233" t="str">
        <f>IF(ISNUMBER(SEARCH("Query", Test!A233)), MID(Test!A233,FIND(",", Test!A233,FIND(",", Test!A233,FIND(",", Test!A233)+1)+1)+1, FIND(",", Test!A233,FIND(",", Test!A233,FIND(",", Test!A233,FIND(",", Test!A233)+1)+1)+1)-FIND(",", Test!A233,FIND(",", Test!A233,FIND(",", Test!A233)+1)+1)-1), IF(Test!B233&lt;&gt;"",MID(Test!B233,FIND(",",Test!B233)+1,FIND(",",Test!B233,FIND(",",Test!B233)+1)-FIND(",",Test!B233)-1),IF(Test!A233&lt;&gt;"",MID(Test!A233,FIND(",",Test!A233,FIND(",",Test!A233)+1)+1,FIND(",",Test!A233,FIND(",",Test!A233,FIND(",",Test!A233)+1)+1)-FIND(",",Test!A233,FIND(",",Test!A233)+1)-1),"")))</f>
        <v/>
      </c>
      <c r="C233" t="str">
        <f>IF(ISNUMBER(FIND("Query",Test!A233)),RIGHT(Test!A233,LEN(Test!A233)-FIND(",",Test!A233,FIND(",",Test!A233,FIND(",",Test!A233,FIND(",",Test!A233)+1)+1)+1)),IF(Test!B233&lt;&gt;"",RIGHT(Test!B233,LEN(Test!B233)-FIND(",",Test!B233,FIND(",",Test!B233)+1)),IF(Test!A233&lt;&gt;"",MID(Test!A233,FIND(",",Test!A233,FIND(",",Test!A233,FIND(",",Test!A233)+1)+1)+1,LEN(Test!A233)-FIND(",",Test!A233,FIND(",",Test!A233,FIND(",",Test!A233)+1)+1)),""))) &amp; IF(Test!C233&lt;&gt;"", " " &amp; SUBSTITUTE(Test!C233,"-",""), "")</f>
        <v/>
      </c>
    </row>
    <row r="234" spans="1:3" x14ac:dyDescent="0.25">
      <c r="A234" t="str">
        <f>IF(Test!A234="", "", IF(ISNUMBER(FIND("Query",Test!A234)), "AS Query ZMMIMR91 , ZGRIR_ALV", IF(LEFT(Test!A234,1)="7", "AS " &amp; Test!A234, "AS " &amp; IF(Test!B234="",SUBSTITUTE(MID(Test!A234,FIND(",",Test!A234)+1,FIND(",",Test!A234,FIND(",",Test!A234)+1)-FIND(",",Test!A234)-1),"Cube ",""),LEFT(Test!B234,FIND(",",Test!B234)-1)))))</f>
        <v/>
      </c>
      <c r="B234" t="str">
        <f>IF(ISNUMBER(SEARCH("Query", Test!A234)), MID(Test!A234,FIND(",", Test!A234,FIND(",", Test!A234,FIND(",", Test!A234)+1)+1)+1, FIND(",", Test!A234,FIND(",", Test!A234,FIND(",", Test!A234,FIND(",", Test!A234)+1)+1)+1)-FIND(",", Test!A234,FIND(",", Test!A234,FIND(",", Test!A234)+1)+1)-1), IF(Test!B234&lt;&gt;"",MID(Test!B234,FIND(",",Test!B234)+1,FIND(",",Test!B234,FIND(",",Test!B234)+1)-FIND(",",Test!B234)-1),IF(Test!A234&lt;&gt;"",MID(Test!A234,FIND(",",Test!A234,FIND(",",Test!A234)+1)+1,FIND(",",Test!A234,FIND(",",Test!A234,FIND(",",Test!A234)+1)+1)-FIND(",",Test!A234,FIND(",",Test!A234)+1)-1),"")))</f>
        <v/>
      </c>
      <c r="C234" t="str">
        <f>IF(ISNUMBER(FIND("Query",Test!A234)),RIGHT(Test!A234,LEN(Test!A234)-FIND(",",Test!A234,FIND(",",Test!A234,FIND(",",Test!A234,FIND(",",Test!A234)+1)+1)+1)),IF(Test!B234&lt;&gt;"",RIGHT(Test!B234,LEN(Test!B234)-FIND(",",Test!B234,FIND(",",Test!B234)+1)),IF(Test!A234&lt;&gt;"",MID(Test!A234,FIND(",",Test!A234,FIND(",",Test!A234,FIND(",",Test!A234)+1)+1)+1,LEN(Test!A234)-FIND(",",Test!A234,FIND(",",Test!A234,FIND(",",Test!A234)+1)+1)),""))) &amp; IF(Test!C234&lt;&gt;"", " " &amp; SUBSTITUTE(Test!C234,"-",""), "")</f>
        <v/>
      </c>
    </row>
    <row r="235" spans="1:3" x14ac:dyDescent="0.25">
      <c r="A235" t="str">
        <f>IF(Test!A235="", "", IF(ISNUMBER(FIND("Query",Test!A235)), "AS Query ZMMIMR91 , ZGRIR_ALV", IF(LEFT(Test!A235,1)="7", "AS " &amp; Test!A235, "AS " &amp; IF(Test!B235="",SUBSTITUTE(MID(Test!A235,FIND(",",Test!A235)+1,FIND(",",Test!A235,FIND(",",Test!A235)+1)-FIND(",",Test!A235)-1),"Cube ",""),LEFT(Test!B235,FIND(",",Test!B235)-1)))))</f>
        <v/>
      </c>
      <c r="B235" t="str">
        <f>IF(ISNUMBER(SEARCH("Query", Test!A235)), MID(Test!A235,FIND(",", Test!A235,FIND(",", Test!A235,FIND(",", Test!A235)+1)+1)+1, FIND(",", Test!A235,FIND(",", Test!A235,FIND(",", Test!A235,FIND(",", Test!A235)+1)+1)+1)-FIND(",", Test!A235,FIND(",", Test!A235,FIND(",", Test!A235)+1)+1)-1), IF(Test!B235&lt;&gt;"",MID(Test!B235,FIND(",",Test!B235)+1,FIND(",",Test!B235,FIND(",",Test!B235)+1)-FIND(",",Test!B235)-1),IF(Test!A235&lt;&gt;"",MID(Test!A235,FIND(",",Test!A235,FIND(",",Test!A235)+1)+1,FIND(",",Test!A235,FIND(",",Test!A235,FIND(",",Test!A235)+1)+1)-FIND(",",Test!A235,FIND(",",Test!A235)+1)-1),"")))</f>
        <v/>
      </c>
      <c r="C235" t="str">
        <f>IF(ISNUMBER(FIND("Query",Test!A235)),RIGHT(Test!A235,LEN(Test!A235)-FIND(",",Test!A235,FIND(",",Test!A235,FIND(",",Test!A235,FIND(",",Test!A235)+1)+1)+1)),IF(Test!B235&lt;&gt;"",RIGHT(Test!B235,LEN(Test!B235)-FIND(",",Test!B235,FIND(",",Test!B235)+1)),IF(Test!A235&lt;&gt;"",MID(Test!A235,FIND(",",Test!A235,FIND(",",Test!A235,FIND(",",Test!A235)+1)+1)+1,LEN(Test!A235)-FIND(",",Test!A235,FIND(",",Test!A235,FIND(",",Test!A235)+1)+1)),""))) &amp; IF(Test!C235&lt;&gt;"", " " &amp; SUBSTITUTE(Test!C235,"-",""), "")</f>
        <v/>
      </c>
    </row>
    <row r="236" spans="1:3" x14ac:dyDescent="0.25">
      <c r="A236" t="str">
        <f>IF(Test!A236="", "", IF(ISNUMBER(FIND("Query",Test!A236)), "AS Query ZMMIMR91 , ZGRIR_ALV", IF(LEFT(Test!A236,1)="7", "AS " &amp; Test!A236, "AS " &amp; IF(Test!B236="",SUBSTITUTE(MID(Test!A236,FIND(",",Test!A236)+1,FIND(",",Test!A236,FIND(",",Test!A236)+1)-FIND(",",Test!A236)-1),"Cube ",""),LEFT(Test!B236,FIND(",",Test!B236)-1)))))</f>
        <v/>
      </c>
      <c r="B236" t="str">
        <f>IF(ISNUMBER(SEARCH("Query", Test!A236)), MID(Test!A236,FIND(",", Test!A236,FIND(",", Test!A236,FIND(",", Test!A236)+1)+1)+1, FIND(",", Test!A236,FIND(",", Test!A236,FIND(",", Test!A236,FIND(",", Test!A236)+1)+1)+1)-FIND(",", Test!A236,FIND(",", Test!A236,FIND(",", Test!A236)+1)+1)-1), IF(Test!B236&lt;&gt;"",MID(Test!B236,FIND(",",Test!B236)+1,FIND(",",Test!B236,FIND(",",Test!B236)+1)-FIND(",",Test!B236)-1),IF(Test!A236&lt;&gt;"",MID(Test!A236,FIND(",",Test!A236,FIND(",",Test!A236)+1)+1,FIND(",",Test!A236,FIND(",",Test!A236,FIND(",",Test!A236)+1)+1)-FIND(",",Test!A236,FIND(",",Test!A236)+1)-1),"")))</f>
        <v/>
      </c>
      <c r="C236" t="str">
        <f>IF(ISNUMBER(FIND("Query",Test!A236)),RIGHT(Test!A236,LEN(Test!A236)-FIND(",",Test!A236,FIND(",",Test!A236,FIND(",",Test!A236,FIND(",",Test!A236)+1)+1)+1)),IF(Test!B236&lt;&gt;"",RIGHT(Test!B236,LEN(Test!B236)-FIND(",",Test!B236,FIND(",",Test!B236)+1)),IF(Test!A236&lt;&gt;"",MID(Test!A236,FIND(",",Test!A236,FIND(",",Test!A236,FIND(",",Test!A236)+1)+1)+1,LEN(Test!A236)-FIND(",",Test!A236,FIND(",",Test!A236,FIND(",",Test!A236)+1)+1)),""))) &amp; IF(Test!C236&lt;&gt;"", " " &amp; SUBSTITUTE(Test!C236,"-",""), "")</f>
        <v/>
      </c>
    </row>
    <row r="237" spans="1:3" x14ac:dyDescent="0.25">
      <c r="A237" t="str">
        <f>IF(Test!A237="", "", IF(ISNUMBER(FIND("Query",Test!A237)), "AS Query ZMMIMR91 , ZGRIR_ALV", IF(LEFT(Test!A237,1)="7", "AS " &amp; Test!A237, "AS " &amp; IF(Test!B237="",SUBSTITUTE(MID(Test!A237,FIND(",",Test!A237)+1,FIND(",",Test!A237,FIND(",",Test!A237)+1)-FIND(",",Test!A237)-1),"Cube ",""),LEFT(Test!B237,FIND(",",Test!B237)-1)))))</f>
        <v/>
      </c>
      <c r="B237" t="str">
        <f>IF(ISNUMBER(SEARCH("Query", Test!A237)), MID(Test!A237,FIND(",", Test!A237,FIND(",", Test!A237,FIND(",", Test!A237)+1)+1)+1, FIND(",", Test!A237,FIND(",", Test!A237,FIND(",", Test!A237,FIND(",", Test!A237)+1)+1)+1)-FIND(",", Test!A237,FIND(",", Test!A237,FIND(",", Test!A237)+1)+1)-1), IF(Test!B237&lt;&gt;"",MID(Test!B237,FIND(",",Test!B237)+1,FIND(",",Test!B237,FIND(",",Test!B237)+1)-FIND(",",Test!B237)-1),IF(Test!A237&lt;&gt;"",MID(Test!A237,FIND(",",Test!A237,FIND(",",Test!A237)+1)+1,FIND(",",Test!A237,FIND(",",Test!A237,FIND(",",Test!A237)+1)+1)-FIND(",",Test!A237,FIND(",",Test!A237)+1)-1),"")))</f>
        <v/>
      </c>
      <c r="C237" t="str">
        <f>IF(ISNUMBER(FIND("Query",Test!A237)),RIGHT(Test!A237,LEN(Test!A237)-FIND(",",Test!A237,FIND(",",Test!A237,FIND(",",Test!A237,FIND(",",Test!A237)+1)+1)+1)),IF(Test!B237&lt;&gt;"",RIGHT(Test!B237,LEN(Test!B237)-FIND(",",Test!B237,FIND(",",Test!B237)+1)),IF(Test!A237&lt;&gt;"",MID(Test!A237,FIND(",",Test!A237,FIND(",",Test!A237,FIND(",",Test!A237)+1)+1)+1,LEN(Test!A237)-FIND(",",Test!A237,FIND(",",Test!A237,FIND(",",Test!A237)+1)+1)),""))) &amp; IF(Test!C237&lt;&gt;"", " " &amp; SUBSTITUTE(Test!C237,"-",""), "")</f>
        <v/>
      </c>
    </row>
    <row r="238" spans="1:3" x14ac:dyDescent="0.25">
      <c r="A238" t="str">
        <f>IF(Test!A238="", "", IF(ISNUMBER(FIND("Query",Test!A238)), "AS Query ZMMIMR91 , ZGRIR_ALV", IF(LEFT(Test!A238,1)="7", "AS " &amp; Test!A238, "AS " &amp; IF(Test!B238="",SUBSTITUTE(MID(Test!A238,FIND(",",Test!A238)+1,FIND(",",Test!A238,FIND(",",Test!A238)+1)-FIND(",",Test!A238)-1),"Cube ",""),LEFT(Test!B238,FIND(",",Test!B238)-1)))))</f>
        <v/>
      </c>
      <c r="B238" t="str">
        <f>IF(ISNUMBER(SEARCH("Query", Test!A238)), MID(Test!A238,FIND(",", Test!A238,FIND(",", Test!A238,FIND(",", Test!A238)+1)+1)+1, FIND(",", Test!A238,FIND(",", Test!A238,FIND(",", Test!A238,FIND(",", Test!A238)+1)+1)+1)-FIND(",", Test!A238,FIND(",", Test!A238,FIND(",", Test!A238)+1)+1)-1), IF(Test!B238&lt;&gt;"",MID(Test!B238,FIND(",",Test!B238)+1,FIND(",",Test!B238,FIND(",",Test!B238)+1)-FIND(",",Test!B238)-1),IF(Test!A238&lt;&gt;"",MID(Test!A238,FIND(",",Test!A238,FIND(",",Test!A238)+1)+1,FIND(",",Test!A238,FIND(",",Test!A238,FIND(",",Test!A238)+1)+1)-FIND(",",Test!A238,FIND(",",Test!A238)+1)-1),"")))</f>
        <v/>
      </c>
      <c r="C238" t="str">
        <f>IF(ISNUMBER(FIND("Query",Test!A238)),RIGHT(Test!A238,LEN(Test!A238)-FIND(",",Test!A238,FIND(",",Test!A238,FIND(",",Test!A238,FIND(",",Test!A238)+1)+1)+1)),IF(Test!B238&lt;&gt;"",RIGHT(Test!B238,LEN(Test!B238)-FIND(",",Test!B238,FIND(",",Test!B238)+1)),IF(Test!A238&lt;&gt;"",MID(Test!A238,FIND(",",Test!A238,FIND(",",Test!A238,FIND(",",Test!A238)+1)+1)+1,LEN(Test!A238)-FIND(",",Test!A238,FIND(",",Test!A238,FIND(",",Test!A238)+1)+1)),""))) &amp; IF(Test!C238&lt;&gt;"", " " &amp; SUBSTITUTE(Test!C238,"-",""), "")</f>
        <v/>
      </c>
    </row>
    <row r="239" spans="1:3" x14ac:dyDescent="0.25">
      <c r="A239" t="str">
        <f>IF(Test!A239="", "", IF(ISNUMBER(FIND("Query",Test!A239)), "AS Query ZMMIMR91 , ZGRIR_ALV", IF(LEFT(Test!A239,1)="7", "AS " &amp; Test!A239, "AS " &amp; IF(Test!B239="",SUBSTITUTE(MID(Test!A239,FIND(",",Test!A239)+1,FIND(",",Test!A239,FIND(",",Test!A239)+1)-FIND(",",Test!A239)-1),"Cube ",""),LEFT(Test!B239,FIND(",",Test!B239)-1)))))</f>
        <v/>
      </c>
      <c r="B239" t="str">
        <f>IF(ISNUMBER(SEARCH("Query", Test!A239)), MID(Test!A239,FIND(",", Test!A239,FIND(",", Test!A239,FIND(",", Test!A239)+1)+1)+1, FIND(",", Test!A239,FIND(",", Test!A239,FIND(",", Test!A239,FIND(",", Test!A239)+1)+1)+1)-FIND(",", Test!A239,FIND(",", Test!A239,FIND(",", Test!A239)+1)+1)-1), IF(Test!B239&lt;&gt;"",MID(Test!B239,FIND(",",Test!B239)+1,FIND(",",Test!B239,FIND(",",Test!B239)+1)-FIND(",",Test!B239)-1),IF(Test!A239&lt;&gt;"",MID(Test!A239,FIND(",",Test!A239,FIND(",",Test!A239)+1)+1,FIND(",",Test!A239,FIND(",",Test!A239,FIND(",",Test!A239)+1)+1)-FIND(",",Test!A239,FIND(",",Test!A239)+1)-1),"")))</f>
        <v/>
      </c>
      <c r="C239" t="str">
        <f>IF(ISNUMBER(FIND("Query",Test!A239)),RIGHT(Test!A239,LEN(Test!A239)-FIND(",",Test!A239,FIND(",",Test!A239,FIND(",",Test!A239,FIND(",",Test!A239)+1)+1)+1)),IF(Test!B239&lt;&gt;"",RIGHT(Test!B239,LEN(Test!B239)-FIND(",",Test!B239,FIND(",",Test!B239)+1)),IF(Test!A239&lt;&gt;"",MID(Test!A239,FIND(",",Test!A239,FIND(",",Test!A239,FIND(",",Test!A239)+1)+1)+1,LEN(Test!A239)-FIND(",",Test!A239,FIND(",",Test!A239,FIND(",",Test!A239)+1)+1)),""))) &amp; IF(Test!C239&lt;&gt;"", " " &amp; SUBSTITUTE(Test!C239,"-",""), "")</f>
        <v/>
      </c>
    </row>
    <row r="240" spans="1:3" x14ac:dyDescent="0.25">
      <c r="A240" t="str">
        <f>IF(Test!A240="", "", IF(ISNUMBER(FIND("Query",Test!A240)), "AS Query ZMMIMR91 , ZGRIR_ALV", IF(LEFT(Test!A240,1)="7", "AS " &amp; Test!A240, "AS " &amp; IF(Test!B240="",SUBSTITUTE(MID(Test!A240,FIND(",",Test!A240)+1,FIND(",",Test!A240,FIND(",",Test!A240)+1)-FIND(",",Test!A240)-1),"Cube ",""),LEFT(Test!B240,FIND(",",Test!B240)-1)))))</f>
        <v/>
      </c>
      <c r="B240" t="str">
        <f>IF(ISNUMBER(SEARCH("Query", Test!A240)), MID(Test!A240,FIND(",", Test!A240,FIND(",", Test!A240,FIND(",", Test!A240)+1)+1)+1, FIND(",", Test!A240,FIND(",", Test!A240,FIND(",", Test!A240,FIND(",", Test!A240)+1)+1)+1)-FIND(",", Test!A240,FIND(",", Test!A240,FIND(",", Test!A240)+1)+1)-1), IF(Test!B240&lt;&gt;"",MID(Test!B240,FIND(",",Test!B240)+1,FIND(",",Test!B240,FIND(",",Test!B240)+1)-FIND(",",Test!B240)-1),IF(Test!A240&lt;&gt;"",MID(Test!A240,FIND(",",Test!A240,FIND(",",Test!A240)+1)+1,FIND(",",Test!A240,FIND(",",Test!A240,FIND(",",Test!A240)+1)+1)-FIND(",",Test!A240,FIND(",",Test!A240)+1)-1),"")))</f>
        <v/>
      </c>
      <c r="C240" t="str">
        <f>IF(ISNUMBER(FIND("Query",Test!A240)),RIGHT(Test!A240,LEN(Test!A240)-FIND(",",Test!A240,FIND(",",Test!A240,FIND(",",Test!A240,FIND(",",Test!A240)+1)+1)+1)),IF(Test!B240&lt;&gt;"",RIGHT(Test!B240,LEN(Test!B240)-FIND(",",Test!B240,FIND(",",Test!B240)+1)),IF(Test!A240&lt;&gt;"",MID(Test!A240,FIND(",",Test!A240,FIND(",",Test!A240,FIND(",",Test!A240)+1)+1)+1,LEN(Test!A240)-FIND(",",Test!A240,FIND(",",Test!A240,FIND(",",Test!A240)+1)+1)),""))) &amp; IF(Test!C240&lt;&gt;"", " " &amp; SUBSTITUTE(Test!C240,"-",""), "")</f>
        <v/>
      </c>
    </row>
    <row r="241" spans="1:3" x14ac:dyDescent="0.25">
      <c r="A241" t="str">
        <f>IF(Test!A241="", "", IF(ISNUMBER(FIND("Query",Test!A241)), "AS Query ZMMIMR91 , ZGRIR_ALV", IF(LEFT(Test!A241,1)="7", "AS " &amp; Test!A241, "AS " &amp; IF(Test!B241="",SUBSTITUTE(MID(Test!A241,FIND(",",Test!A241)+1,FIND(",",Test!A241,FIND(",",Test!A241)+1)-FIND(",",Test!A241)-1),"Cube ",""),LEFT(Test!B241,FIND(",",Test!B241)-1)))))</f>
        <v/>
      </c>
      <c r="B241" t="str">
        <f>IF(ISNUMBER(SEARCH("Query", Test!A241)), MID(Test!A241,FIND(",", Test!A241,FIND(",", Test!A241,FIND(",", Test!A241)+1)+1)+1, FIND(",", Test!A241,FIND(",", Test!A241,FIND(",", Test!A241,FIND(",", Test!A241)+1)+1)+1)-FIND(",", Test!A241,FIND(",", Test!A241,FIND(",", Test!A241)+1)+1)-1), IF(Test!B241&lt;&gt;"",MID(Test!B241,FIND(",",Test!B241)+1,FIND(",",Test!B241,FIND(",",Test!B241)+1)-FIND(",",Test!B241)-1),IF(Test!A241&lt;&gt;"",MID(Test!A241,FIND(",",Test!A241,FIND(",",Test!A241)+1)+1,FIND(",",Test!A241,FIND(",",Test!A241,FIND(",",Test!A241)+1)+1)-FIND(",",Test!A241,FIND(",",Test!A241)+1)-1),"")))</f>
        <v/>
      </c>
      <c r="C241" t="str">
        <f>IF(ISNUMBER(FIND("Query",Test!A241)),RIGHT(Test!A241,LEN(Test!A241)-FIND(",",Test!A241,FIND(",",Test!A241,FIND(",",Test!A241,FIND(",",Test!A241)+1)+1)+1)),IF(Test!B241&lt;&gt;"",RIGHT(Test!B241,LEN(Test!B241)-FIND(",",Test!B241,FIND(",",Test!B241)+1)),IF(Test!A241&lt;&gt;"",MID(Test!A241,FIND(",",Test!A241,FIND(",",Test!A241,FIND(",",Test!A241)+1)+1)+1,LEN(Test!A241)-FIND(",",Test!A241,FIND(",",Test!A241,FIND(",",Test!A241)+1)+1)),""))) &amp; IF(Test!C241&lt;&gt;"", " " &amp; SUBSTITUTE(Test!C241,"-",""), "")</f>
        <v/>
      </c>
    </row>
    <row r="242" spans="1:3" x14ac:dyDescent="0.25">
      <c r="A242" t="str">
        <f>IF(Test!A242="", "", IF(ISNUMBER(FIND("Query",Test!A242)), "AS Query ZMMIMR91 , ZGRIR_ALV", IF(LEFT(Test!A242,1)="7", "AS " &amp; Test!A242, "AS " &amp; IF(Test!B242="",SUBSTITUTE(MID(Test!A242,FIND(",",Test!A242)+1,FIND(",",Test!A242,FIND(",",Test!A242)+1)-FIND(",",Test!A242)-1),"Cube ",""),LEFT(Test!B242,FIND(",",Test!B242)-1)))))</f>
        <v/>
      </c>
      <c r="B242" t="str">
        <f>IF(ISNUMBER(SEARCH("Query", Test!A242)), MID(Test!A242,FIND(",", Test!A242,FIND(",", Test!A242,FIND(",", Test!A242)+1)+1)+1, FIND(",", Test!A242,FIND(",", Test!A242,FIND(",", Test!A242,FIND(",", Test!A242)+1)+1)+1)-FIND(",", Test!A242,FIND(",", Test!A242,FIND(",", Test!A242)+1)+1)-1), IF(Test!B242&lt;&gt;"",MID(Test!B242,FIND(",",Test!B242)+1,FIND(",",Test!B242,FIND(",",Test!B242)+1)-FIND(",",Test!B242)-1),IF(Test!A242&lt;&gt;"",MID(Test!A242,FIND(",",Test!A242,FIND(",",Test!A242)+1)+1,FIND(",",Test!A242,FIND(",",Test!A242,FIND(",",Test!A242)+1)+1)-FIND(",",Test!A242,FIND(",",Test!A242)+1)-1),"")))</f>
        <v/>
      </c>
      <c r="C242" t="str">
        <f>IF(ISNUMBER(FIND("Query",Test!A242)),RIGHT(Test!A242,LEN(Test!A242)-FIND(",",Test!A242,FIND(",",Test!A242,FIND(",",Test!A242,FIND(",",Test!A242)+1)+1)+1)),IF(Test!B242&lt;&gt;"",RIGHT(Test!B242,LEN(Test!B242)-FIND(",",Test!B242,FIND(",",Test!B242)+1)),IF(Test!A242&lt;&gt;"",MID(Test!A242,FIND(",",Test!A242,FIND(",",Test!A242,FIND(",",Test!A242)+1)+1)+1,LEN(Test!A242)-FIND(",",Test!A242,FIND(",",Test!A242,FIND(",",Test!A242)+1)+1)),""))) &amp; IF(Test!C242&lt;&gt;"", " " &amp; SUBSTITUTE(Test!C242,"-",""), "")</f>
        <v/>
      </c>
    </row>
    <row r="243" spans="1:3" x14ac:dyDescent="0.25">
      <c r="A243" t="str">
        <f>IF(Test!A243="", "", IF(ISNUMBER(FIND("Query",Test!A243)), "AS Query ZMMIMR91 , ZGRIR_ALV", IF(LEFT(Test!A243,1)="7", "AS " &amp; Test!A243, "AS " &amp; IF(Test!B243="",SUBSTITUTE(MID(Test!A243,FIND(",",Test!A243)+1,FIND(",",Test!A243,FIND(",",Test!A243)+1)-FIND(",",Test!A243)-1),"Cube ",""),LEFT(Test!B243,FIND(",",Test!B243)-1)))))</f>
        <v/>
      </c>
      <c r="B243" t="str">
        <f>IF(ISNUMBER(SEARCH("Query", Test!A243)), MID(Test!A243,FIND(",", Test!A243,FIND(",", Test!A243,FIND(",", Test!A243)+1)+1)+1, FIND(",", Test!A243,FIND(",", Test!A243,FIND(",", Test!A243,FIND(",", Test!A243)+1)+1)+1)-FIND(",", Test!A243,FIND(",", Test!A243,FIND(",", Test!A243)+1)+1)-1), IF(Test!B243&lt;&gt;"",MID(Test!B243,FIND(",",Test!B243)+1,FIND(",",Test!B243,FIND(",",Test!B243)+1)-FIND(",",Test!B243)-1),IF(Test!A243&lt;&gt;"",MID(Test!A243,FIND(",",Test!A243,FIND(",",Test!A243)+1)+1,FIND(",",Test!A243,FIND(",",Test!A243,FIND(",",Test!A243)+1)+1)-FIND(",",Test!A243,FIND(",",Test!A243)+1)-1),"")))</f>
        <v/>
      </c>
      <c r="C243" t="str">
        <f>IF(ISNUMBER(FIND("Query",Test!A243)),RIGHT(Test!A243,LEN(Test!A243)-FIND(",",Test!A243,FIND(",",Test!A243,FIND(",",Test!A243,FIND(",",Test!A243)+1)+1)+1)),IF(Test!B243&lt;&gt;"",RIGHT(Test!B243,LEN(Test!B243)-FIND(",",Test!B243,FIND(",",Test!B243)+1)),IF(Test!A243&lt;&gt;"",MID(Test!A243,FIND(",",Test!A243,FIND(",",Test!A243,FIND(",",Test!A243)+1)+1)+1,LEN(Test!A243)-FIND(",",Test!A243,FIND(",",Test!A243,FIND(",",Test!A243)+1)+1)),""))) &amp; IF(Test!C243&lt;&gt;"", " " &amp; SUBSTITUTE(Test!C243,"-",""), "")</f>
        <v/>
      </c>
    </row>
    <row r="244" spans="1:3" x14ac:dyDescent="0.25">
      <c r="A244" t="str">
        <f>IF(Test!A244="", "", IF(ISNUMBER(FIND("Query",Test!A244)), "AS Query ZMMIMR91 , ZGRIR_ALV", IF(LEFT(Test!A244,1)="7", "AS " &amp; Test!A244, "AS " &amp; IF(Test!B244="",SUBSTITUTE(MID(Test!A244,FIND(",",Test!A244)+1,FIND(",",Test!A244,FIND(",",Test!A244)+1)-FIND(",",Test!A244)-1),"Cube ",""),LEFT(Test!B244,FIND(",",Test!B244)-1)))))</f>
        <v/>
      </c>
      <c r="B244" t="str">
        <f>IF(ISNUMBER(SEARCH("Query", Test!A244)), MID(Test!A244,FIND(",", Test!A244,FIND(",", Test!A244,FIND(",", Test!A244)+1)+1)+1, FIND(",", Test!A244,FIND(",", Test!A244,FIND(",", Test!A244,FIND(",", Test!A244)+1)+1)+1)-FIND(",", Test!A244,FIND(",", Test!A244,FIND(",", Test!A244)+1)+1)-1), IF(Test!B244&lt;&gt;"",MID(Test!B244,FIND(",",Test!B244)+1,FIND(",",Test!B244,FIND(",",Test!B244)+1)-FIND(",",Test!B244)-1),IF(Test!A244&lt;&gt;"",MID(Test!A244,FIND(",",Test!A244,FIND(",",Test!A244)+1)+1,FIND(",",Test!A244,FIND(",",Test!A244,FIND(",",Test!A244)+1)+1)-FIND(",",Test!A244,FIND(",",Test!A244)+1)-1),"")))</f>
        <v/>
      </c>
      <c r="C244" t="str">
        <f>IF(ISNUMBER(FIND("Query",Test!A244)),RIGHT(Test!A244,LEN(Test!A244)-FIND(",",Test!A244,FIND(",",Test!A244,FIND(",",Test!A244,FIND(",",Test!A244)+1)+1)+1)),IF(Test!B244&lt;&gt;"",RIGHT(Test!B244,LEN(Test!B244)-FIND(",",Test!B244,FIND(",",Test!B244)+1)),IF(Test!A244&lt;&gt;"",MID(Test!A244,FIND(",",Test!A244,FIND(",",Test!A244,FIND(",",Test!A244)+1)+1)+1,LEN(Test!A244)-FIND(",",Test!A244,FIND(",",Test!A244,FIND(",",Test!A244)+1)+1)),""))) &amp; IF(Test!C244&lt;&gt;"", " " &amp; SUBSTITUTE(Test!C244,"-",""), "")</f>
        <v/>
      </c>
    </row>
    <row r="245" spans="1:3" x14ac:dyDescent="0.25">
      <c r="A245" t="str">
        <f>IF(Test!A245="", "", IF(ISNUMBER(FIND("Query",Test!A245)), "AS Query ZMMIMR91 , ZGRIR_ALV", IF(LEFT(Test!A245,1)="7", "AS " &amp; Test!A245, "AS " &amp; IF(Test!B245="",SUBSTITUTE(MID(Test!A245,FIND(",",Test!A245)+1,FIND(",",Test!A245,FIND(",",Test!A245)+1)-FIND(",",Test!A245)-1),"Cube ",""),LEFT(Test!B245,FIND(",",Test!B245)-1)))))</f>
        <v/>
      </c>
      <c r="B245" t="str">
        <f>IF(ISNUMBER(SEARCH("Query", Test!A245)), MID(Test!A245,FIND(",", Test!A245,FIND(",", Test!A245,FIND(",", Test!A245)+1)+1)+1, FIND(",", Test!A245,FIND(",", Test!A245,FIND(",", Test!A245,FIND(",", Test!A245)+1)+1)+1)-FIND(",", Test!A245,FIND(",", Test!A245,FIND(",", Test!A245)+1)+1)-1), IF(Test!B245&lt;&gt;"",MID(Test!B245,FIND(",",Test!B245)+1,FIND(",",Test!B245,FIND(",",Test!B245)+1)-FIND(",",Test!B245)-1),IF(Test!A245&lt;&gt;"",MID(Test!A245,FIND(",",Test!A245,FIND(",",Test!A245)+1)+1,FIND(",",Test!A245,FIND(",",Test!A245,FIND(",",Test!A245)+1)+1)-FIND(",",Test!A245,FIND(",",Test!A245)+1)-1),"")))</f>
        <v/>
      </c>
      <c r="C245" t="str">
        <f>IF(ISNUMBER(FIND("Query",Test!A245)),RIGHT(Test!A245,LEN(Test!A245)-FIND(",",Test!A245,FIND(",",Test!A245,FIND(",",Test!A245,FIND(",",Test!A245)+1)+1)+1)),IF(Test!B245&lt;&gt;"",RIGHT(Test!B245,LEN(Test!B245)-FIND(",",Test!B245,FIND(",",Test!B245)+1)),IF(Test!A245&lt;&gt;"",MID(Test!A245,FIND(",",Test!A245,FIND(",",Test!A245,FIND(",",Test!A245)+1)+1)+1,LEN(Test!A245)-FIND(",",Test!A245,FIND(",",Test!A245,FIND(",",Test!A245)+1)+1)),""))) &amp; IF(Test!C245&lt;&gt;"", " " &amp; SUBSTITUTE(Test!C245,"-",""), "")</f>
        <v/>
      </c>
    </row>
    <row r="246" spans="1:3" x14ac:dyDescent="0.25">
      <c r="A246" t="str">
        <f>IF(Test!A246="", "", IF(ISNUMBER(FIND("Query",Test!A246)), "AS Query ZMMIMR91 , ZGRIR_ALV", IF(LEFT(Test!A246,1)="7", "AS " &amp; Test!A246, "AS " &amp; IF(Test!B246="",SUBSTITUTE(MID(Test!A246,FIND(",",Test!A246)+1,FIND(",",Test!A246,FIND(",",Test!A246)+1)-FIND(",",Test!A246)-1),"Cube ",""),LEFT(Test!B246,FIND(",",Test!B246)-1)))))</f>
        <v/>
      </c>
      <c r="B246" t="str">
        <f>IF(ISNUMBER(SEARCH("Query", Test!A246)), MID(Test!A246,FIND(",", Test!A246,FIND(",", Test!A246,FIND(",", Test!A246)+1)+1)+1, FIND(",", Test!A246,FIND(",", Test!A246,FIND(",", Test!A246,FIND(",", Test!A246)+1)+1)+1)-FIND(",", Test!A246,FIND(",", Test!A246,FIND(",", Test!A246)+1)+1)-1), IF(Test!B246&lt;&gt;"",MID(Test!B246,FIND(",",Test!B246)+1,FIND(",",Test!B246,FIND(",",Test!B246)+1)-FIND(",",Test!B246)-1),IF(Test!A246&lt;&gt;"",MID(Test!A246,FIND(",",Test!A246,FIND(",",Test!A246)+1)+1,FIND(",",Test!A246,FIND(",",Test!A246,FIND(",",Test!A246)+1)+1)-FIND(",",Test!A246,FIND(",",Test!A246)+1)-1),"")))</f>
        <v/>
      </c>
      <c r="C246" t="str">
        <f>IF(ISNUMBER(FIND("Query",Test!A246)),RIGHT(Test!A246,LEN(Test!A246)-FIND(",",Test!A246,FIND(",",Test!A246,FIND(",",Test!A246,FIND(",",Test!A246)+1)+1)+1)),IF(Test!B246&lt;&gt;"",RIGHT(Test!B246,LEN(Test!B246)-FIND(",",Test!B246,FIND(",",Test!B246)+1)),IF(Test!A246&lt;&gt;"",MID(Test!A246,FIND(",",Test!A246,FIND(",",Test!A246,FIND(",",Test!A246)+1)+1)+1,LEN(Test!A246)-FIND(",",Test!A246,FIND(",",Test!A246,FIND(",",Test!A246)+1)+1)),""))) &amp; IF(Test!C246&lt;&gt;"", " " &amp; SUBSTITUTE(Test!C246,"-",""), "")</f>
        <v/>
      </c>
    </row>
    <row r="247" spans="1:3" x14ac:dyDescent="0.25">
      <c r="A247" t="str">
        <f>IF(Test!A247="", "", IF(ISNUMBER(FIND("Query",Test!A247)), "AS Query ZMMIMR91 , ZGRIR_ALV", IF(LEFT(Test!A247,1)="7", "AS " &amp; Test!A247, "AS " &amp; IF(Test!B247="",SUBSTITUTE(MID(Test!A247,FIND(",",Test!A247)+1,FIND(",",Test!A247,FIND(",",Test!A247)+1)-FIND(",",Test!A247)-1),"Cube ",""),LEFT(Test!B247,FIND(",",Test!B247)-1)))))</f>
        <v/>
      </c>
      <c r="B247" t="str">
        <f>IF(ISNUMBER(SEARCH("Query", Test!A247)), MID(Test!A247,FIND(",", Test!A247,FIND(",", Test!A247,FIND(",", Test!A247)+1)+1)+1, FIND(",", Test!A247,FIND(",", Test!A247,FIND(",", Test!A247,FIND(",", Test!A247)+1)+1)+1)-FIND(",", Test!A247,FIND(",", Test!A247,FIND(",", Test!A247)+1)+1)-1), IF(Test!B247&lt;&gt;"",MID(Test!B247,FIND(",",Test!B247)+1,FIND(",",Test!B247,FIND(",",Test!B247)+1)-FIND(",",Test!B247)-1),IF(Test!A247&lt;&gt;"",MID(Test!A247,FIND(",",Test!A247,FIND(",",Test!A247)+1)+1,FIND(",",Test!A247,FIND(",",Test!A247,FIND(",",Test!A247)+1)+1)-FIND(",",Test!A247,FIND(",",Test!A247)+1)-1),"")))</f>
        <v/>
      </c>
      <c r="C247" t="str">
        <f>IF(ISNUMBER(FIND("Query",Test!A247)),RIGHT(Test!A247,LEN(Test!A247)-FIND(",",Test!A247,FIND(",",Test!A247,FIND(",",Test!A247,FIND(",",Test!A247)+1)+1)+1)),IF(Test!B247&lt;&gt;"",RIGHT(Test!B247,LEN(Test!B247)-FIND(",",Test!B247,FIND(",",Test!B247)+1)),IF(Test!A247&lt;&gt;"",MID(Test!A247,FIND(",",Test!A247,FIND(",",Test!A247,FIND(",",Test!A247)+1)+1)+1,LEN(Test!A247)-FIND(",",Test!A247,FIND(",",Test!A247,FIND(",",Test!A247)+1)+1)),""))) &amp; IF(Test!C247&lt;&gt;"", " " &amp; SUBSTITUTE(Test!C247,"-",""), "")</f>
        <v/>
      </c>
    </row>
    <row r="248" spans="1:3" x14ac:dyDescent="0.25">
      <c r="A248" t="str">
        <f>IF(Test!A248="", "", IF(ISNUMBER(FIND("Query",Test!A248)), "AS Query ZMMIMR91 , ZGRIR_ALV", IF(LEFT(Test!A248,1)="7", "AS " &amp; Test!A248, "AS " &amp; IF(Test!B248="",SUBSTITUTE(MID(Test!A248,FIND(",",Test!A248)+1,FIND(",",Test!A248,FIND(",",Test!A248)+1)-FIND(",",Test!A248)-1),"Cube ",""),LEFT(Test!B248,FIND(",",Test!B248)-1)))))</f>
        <v/>
      </c>
      <c r="B248" t="str">
        <f>IF(ISNUMBER(SEARCH("Query", Test!A248)), MID(Test!A248,FIND(",", Test!A248,FIND(",", Test!A248,FIND(",", Test!A248)+1)+1)+1, FIND(",", Test!A248,FIND(",", Test!A248,FIND(",", Test!A248,FIND(",", Test!A248)+1)+1)+1)-FIND(",", Test!A248,FIND(",", Test!A248,FIND(",", Test!A248)+1)+1)-1), IF(Test!B248&lt;&gt;"",MID(Test!B248,FIND(",",Test!B248)+1,FIND(",",Test!B248,FIND(",",Test!B248)+1)-FIND(",",Test!B248)-1),IF(Test!A248&lt;&gt;"",MID(Test!A248,FIND(",",Test!A248,FIND(",",Test!A248)+1)+1,FIND(",",Test!A248,FIND(",",Test!A248,FIND(",",Test!A248)+1)+1)-FIND(",",Test!A248,FIND(",",Test!A248)+1)-1),"")))</f>
        <v/>
      </c>
      <c r="C248" t="str">
        <f>IF(ISNUMBER(FIND("Query",Test!A248)),RIGHT(Test!A248,LEN(Test!A248)-FIND(",",Test!A248,FIND(",",Test!A248,FIND(",",Test!A248,FIND(",",Test!A248)+1)+1)+1)),IF(Test!B248&lt;&gt;"",RIGHT(Test!B248,LEN(Test!B248)-FIND(",",Test!B248,FIND(",",Test!B248)+1)),IF(Test!A248&lt;&gt;"",MID(Test!A248,FIND(",",Test!A248,FIND(",",Test!A248,FIND(",",Test!A248)+1)+1)+1,LEN(Test!A248)-FIND(",",Test!A248,FIND(",",Test!A248,FIND(",",Test!A248)+1)+1)),""))) &amp; IF(Test!C248&lt;&gt;"", " " &amp; SUBSTITUTE(Test!C248,"-",""), "")</f>
        <v/>
      </c>
    </row>
    <row r="249" spans="1:3" x14ac:dyDescent="0.25">
      <c r="A249" t="str">
        <f>IF(Test!A249="", "", IF(ISNUMBER(FIND("Query",Test!A249)), "AS Query ZMMIMR91 , ZGRIR_ALV", IF(LEFT(Test!A249,1)="7", "AS " &amp; Test!A249, "AS " &amp; IF(Test!B249="",SUBSTITUTE(MID(Test!A249,FIND(",",Test!A249)+1,FIND(",",Test!A249,FIND(",",Test!A249)+1)-FIND(",",Test!A249)-1),"Cube ",""),LEFT(Test!B249,FIND(",",Test!B249)-1)))))</f>
        <v/>
      </c>
      <c r="B249" t="str">
        <f>IF(ISNUMBER(SEARCH("Query", Test!A249)), MID(Test!A249,FIND(",", Test!A249,FIND(",", Test!A249,FIND(",", Test!A249)+1)+1)+1, FIND(",", Test!A249,FIND(",", Test!A249,FIND(",", Test!A249,FIND(",", Test!A249)+1)+1)+1)-FIND(",", Test!A249,FIND(",", Test!A249,FIND(",", Test!A249)+1)+1)-1), IF(Test!B249&lt;&gt;"",MID(Test!B249,FIND(",",Test!B249)+1,FIND(",",Test!B249,FIND(",",Test!B249)+1)-FIND(",",Test!B249)-1),IF(Test!A249&lt;&gt;"",MID(Test!A249,FIND(",",Test!A249,FIND(",",Test!A249)+1)+1,FIND(",",Test!A249,FIND(",",Test!A249,FIND(",",Test!A249)+1)+1)-FIND(",",Test!A249,FIND(",",Test!A249)+1)-1),"")))</f>
        <v/>
      </c>
      <c r="C249" t="str">
        <f>IF(ISNUMBER(FIND("Query",Test!A249)),RIGHT(Test!A249,LEN(Test!A249)-FIND(",",Test!A249,FIND(",",Test!A249,FIND(",",Test!A249,FIND(",",Test!A249)+1)+1)+1)),IF(Test!B249&lt;&gt;"",RIGHT(Test!B249,LEN(Test!B249)-FIND(",",Test!B249,FIND(",",Test!B249)+1)),IF(Test!A249&lt;&gt;"",MID(Test!A249,FIND(",",Test!A249,FIND(",",Test!A249,FIND(",",Test!A249)+1)+1)+1,LEN(Test!A249)-FIND(",",Test!A249,FIND(",",Test!A249,FIND(",",Test!A249)+1)+1)),""))) &amp; IF(Test!C249&lt;&gt;"", " " &amp; SUBSTITUTE(Test!C249,"-",""), "")</f>
        <v/>
      </c>
    </row>
    <row r="250" spans="1:3" x14ac:dyDescent="0.25">
      <c r="A250" t="str">
        <f>IF(Test!A250="", "", IF(ISNUMBER(FIND("Query",Test!A250)), "AS Query ZMMIMR91 , ZGRIR_ALV", IF(LEFT(Test!A250,1)="7", "AS " &amp; Test!A250, "AS " &amp; IF(Test!B250="",SUBSTITUTE(MID(Test!A250,FIND(",",Test!A250)+1,FIND(",",Test!A250,FIND(",",Test!A250)+1)-FIND(",",Test!A250)-1),"Cube ",""),LEFT(Test!B250,FIND(",",Test!B250)-1)))))</f>
        <v/>
      </c>
      <c r="B250" t="str">
        <f>IF(ISNUMBER(SEARCH("Query", Test!A250)), MID(Test!A250,FIND(",", Test!A250,FIND(",", Test!A250,FIND(",", Test!A250)+1)+1)+1, FIND(",", Test!A250,FIND(",", Test!A250,FIND(",", Test!A250,FIND(",", Test!A250)+1)+1)+1)-FIND(",", Test!A250,FIND(",", Test!A250,FIND(",", Test!A250)+1)+1)-1), IF(Test!B250&lt;&gt;"",MID(Test!B250,FIND(",",Test!B250)+1,FIND(",",Test!B250,FIND(",",Test!B250)+1)-FIND(",",Test!B250)-1),IF(Test!A250&lt;&gt;"",MID(Test!A250,FIND(",",Test!A250,FIND(",",Test!A250)+1)+1,FIND(",",Test!A250,FIND(",",Test!A250,FIND(",",Test!A250)+1)+1)-FIND(",",Test!A250,FIND(",",Test!A250)+1)-1),"")))</f>
        <v/>
      </c>
      <c r="C250" t="str">
        <f>IF(ISNUMBER(FIND("Query",Test!A250)),RIGHT(Test!A250,LEN(Test!A250)-FIND(",",Test!A250,FIND(",",Test!A250,FIND(",",Test!A250,FIND(",",Test!A250)+1)+1)+1)),IF(Test!B250&lt;&gt;"",RIGHT(Test!B250,LEN(Test!B250)-FIND(",",Test!B250,FIND(",",Test!B250)+1)),IF(Test!A250&lt;&gt;"",MID(Test!A250,FIND(",",Test!A250,FIND(",",Test!A250,FIND(",",Test!A250)+1)+1)+1,LEN(Test!A250)-FIND(",",Test!A250,FIND(",",Test!A250,FIND(",",Test!A250)+1)+1)),""))) &amp; IF(Test!C250&lt;&gt;"", " " &amp; SUBSTITUTE(Test!C250,"-",""), "")</f>
        <v/>
      </c>
    </row>
    <row r="251" spans="1:3" x14ac:dyDescent="0.25">
      <c r="A251" t="str">
        <f>IF(Test!A251="", "", IF(ISNUMBER(FIND("Query",Test!A251)), "AS Query ZMMIMR91 , ZGRIR_ALV", IF(LEFT(Test!A251,1)="7", "AS " &amp; Test!A251, "AS " &amp; IF(Test!B251="",SUBSTITUTE(MID(Test!A251,FIND(",",Test!A251)+1,FIND(",",Test!A251,FIND(",",Test!A251)+1)-FIND(",",Test!A251)-1),"Cube ",""),LEFT(Test!B251,FIND(",",Test!B251)-1)))))</f>
        <v/>
      </c>
      <c r="B251" t="str">
        <f>IF(ISNUMBER(SEARCH("Query", Test!A251)), MID(Test!A251,FIND(",", Test!A251,FIND(",", Test!A251,FIND(",", Test!A251)+1)+1)+1, FIND(",", Test!A251,FIND(",", Test!A251,FIND(",", Test!A251,FIND(",", Test!A251)+1)+1)+1)-FIND(",", Test!A251,FIND(",", Test!A251,FIND(",", Test!A251)+1)+1)-1), IF(Test!B251&lt;&gt;"",MID(Test!B251,FIND(",",Test!B251)+1,FIND(",",Test!B251,FIND(",",Test!B251)+1)-FIND(",",Test!B251)-1),IF(Test!A251&lt;&gt;"",MID(Test!A251,FIND(",",Test!A251,FIND(",",Test!A251)+1)+1,FIND(",",Test!A251,FIND(",",Test!A251,FIND(",",Test!A251)+1)+1)-FIND(",",Test!A251,FIND(",",Test!A251)+1)-1),"")))</f>
        <v/>
      </c>
      <c r="C251" t="str">
        <f>IF(ISNUMBER(FIND("Query",Test!A251)),RIGHT(Test!A251,LEN(Test!A251)-FIND(",",Test!A251,FIND(",",Test!A251,FIND(",",Test!A251,FIND(",",Test!A251)+1)+1)+1)),IF(Test!B251&lt;&gt;"",RIGHT(Test!B251,LEN(Test!B251)-FIND(",",Test!B251,FIND(",",Test!B251)+1)),IF(Test!A251&lt;&gt;"",MID(Test!A251,FIND(",",Test!A251,FIND(",",Test!A251,FIND(",",Test!A251)+1)+1)+1,LEN(Test!A251)-FIND(",",Test!A251,FIND(",",Test!A251,FIND(",",Test!A251)+1)+1)),""))) &amp; IF(Test!C251&lt;&gt;"", " " &amp; SUBSTITUTE(Test!C251,"-",""), "")</f>
        <v/>
      </c>
    </row>
    <row r="252" spans="1:3" x14ac:dyDescent="0.25">
      <c r="A252" t="str">
        <f>IF(Test!A252="", "", IF(ISNUMBER(FIND("Query",Test!A252)), "AS Query ZMMIMR91 , ZGRIR_ALV", IF(LEFT(Test!A252,1)="7", "AS " &amp; Test!A252, "AS " &amp; IF(Test!B252="",SUBSTITUTE(MID(Test!A252,FIND(",",Test!A252)+1,FIND(",",Test!A252,FIND(",",Test!A252)+1)-FIND(",",Test!A252)-1),"Cube ",""),LEFT(Test!B252,FIND(",",Test!B252)-1)))))</f>
        <v/>
      </c>
      <c r="B252" t="str">
        <f>IF(ISNUMBER(SEARCH("Query", Test!A252)), MID(Test!A252,FIND(",", Test!A252,FIND(",", Test!A252,FIND(",", Test!A252)+1)+1)+1, FIND(",", Test!A252,FIND(",", Test!A252,FIND(",", Test!A252,FIND(",", Test!A252)+1)+1)+1)-FIND(",", Test!A252,FIND(",", Test!A252,FIND(",", Test!A252)+1)+1)-1), IF(Test!B252&lt;&gt;"",MID(Test!B252,FIND(",",Test!B252)+1,FIND(",",Test!B252,FIND(",",Test!B252)+1)-FIND(",",Test!B252)-1),IF(Test!A252&lt;&gt;"",MID(Test!A252,FIND(",",Test!A252,FIND(",",Test!A252)+1)+1,FIND(",",Test!A252,FIND(",",Test!A252,FIND(",",Test!A252)+1)+1)-FIND(",",Test!A252,FIND(",",Test!A252)+1)-1),"")))</f>
        <v/>
      </c>
      <c r="C252" t="str">
        <f>IF(ISNUMBER(FIND("Query",Test!A252)),RIGHT(Test!A252,LEN(Test!A252)-FIND(",",Test!A252,FIND(",",Test!A252,FIND(",",Test!A252,FIND(",",Test!A252)+1)+1)+1)),IF(Test!B252&lt;&gt;"",RIGHT(Test!B252,LEN(Test!B252)-FIND(",",Test!B252,FIND(",",Test!B252)+1)),IF(Test!A252&lt;&gt;"",MID(Test!A252,FIND(",",Test!A252,FIND(",",Test!A252,FIND(",",Test!A252)+1)+1)+1,LEN(Test!A252)-FIND(",",Test!A252,FIND(",",Test!A252,FIND(",",Test!A252)+1)+1)),""))) &amp; IF(Test!C252&lt;&gt;"", " " &amp; SUBSTITUTE(Test!C252,"-",""), "")</f>
        <v/>
      </c>
    </row>
    <row r="253" spans="1:3" x14ac:dyDescent="0.25">
      <c r="A253" t="str">
        <f>IF(Test!A253="", "", IF(ISNUMBER(FIND("Query",Test!A253)), "AS Query ZMMIMR91 , ZGRIR_ALV", IF(LEFT(Test!A253,1)="7", "AS " &amp; Test!A253, "AS " &amp; IF(Test!B253="",SUBSTITUTE(MID(Test!A253,FIND(",",Test!A253)+1,FIND(",",Test!A253,FIND(",",Test!A253)+1)-FIND(",",Test!A253)-1),"Cube ",""),LEFT(Test!B253,FIND(",",Test!B253)-1)))))</f>
        <v/>
      </c>
      <c r="B253" t="str">
        <f>IF(ISNUMBER(SEARCH("Query", Test!A253)), MID(Test!A253,FIND(",", Test!A253,FIND(",", Test!A253,FIND(",", Test!A253)+1)+1)+1, FIND(",", Test!A253,FIND(",", Test!A253,FIND(",", Test!A253,FIND(",", Test!A253)+1)+1)+1)-FIND(",", Test!A253,FIND(",", Test!A253,FIND(",", Test!A253)+1)+1)-1), IF(Test!B253&lt;&gt;"",MID(Test!B253,FIND(",",Test!B253)+1,FIND(",",Test!B253,FIND(",",Test!B253)+1)-FIND(",",Test!B253)-1),IF(Test!A253&lt;&gt;"",MID(Test!A253,FIND(",",Test!A253,FIND(",",Test!A253)+1)+1,FIND(",",Test!A253,FIND(",",Test!A253,FIND(",",Test!A253)+1)+1)-FIND(",",Test!A253,FIND(",",Test!A253)+1)-1),"")))</f>
        <v/>
      </c>
      <c r="C253" t="str">
        <f>IF(ISNUMBER(FIND("Query",Test!A253)),RIGHT(Test!A253,LEN(Test!A253)-FIND(",",Test!A253,FIND(",",Test!A253,FIND(",",Test!A253,FIND(",",Test!A253)+1)+1)+1)),IF(Test!B253&lt;&gt;"",RIGHT(Test!B253,LEN(Test!B253)-FIND(",",Test!B253,FIND(",",Test!B253)+1)),IF(Test!A253&lt;&gt;"",MID(Test!A253,FIND(",",Test!A253,FIND(",",Test!A253,FIND(",",Test!A253)+1)+1)+1,LEN(Test!A253)-FIND(",",Test!A253,FIND(",",Test!A253,FIND(",",Test!A253)+1)+1)),""))) &amp; IF(Test!C253&lt;&gt;"", " " &amp; SUBSTITUTE(Test!C253,"-",""), "")</f>
        <v/>
      </c>
    </row>
    <row r="254" spans="1:3" x14ac:dyDescent="0.25">
      <c r="A254" t="str">
        <f>IF(Test!A254="", "", IF(ISNUMBER(FIND("Query",Test!A254)), "AS Query ZMMIMR91 , ZGRIR_ALV", IF(LEFT(Test!A254,1)="7", "AS " &amp; Test!A254, "AS " &amp; IF(Test!B254="",SUBSTITUTE(MID(Test!A254,FIND(",",Test!A254)+1,FIND(",",Test!A254,FIND(",",Test!A254)+1)-FIND(",",Test!A254)-1),"Cube ",""),LEFT(Test!B254,FIND(",",Test!B254)-1)))))</f>
        <v/>
      </c>
      <c r="B254" t="str">
        <f>IF(ISNUMBER(SEARCH("Query", Test!A254)), MID(Test!A254,FIND(",", Test!A254,FIND(",", Test!A254,FIND(",", Test!A254)+1)+1)+1, FIND(",", Test!A254,FIND(",", Test!A254,FIND(",", Test!A254,FIND(",", Test!A254)+1)+1)+1)-FIND(",", Test!A254,FIND(",", Test!A254,FIND(",", Test!A254)+1)+1)-1), IF(Test!B254&lt;&gt;"",MID(Test!B254,FIND(",",Test!B254)+1,FIND(",",Test!B254,FIND(",",Test!B254)+1)-FIND(",",Test!B254)-1),IF(Test!A254&lt;&gt;"",MID(Test!A254,FIND(",",Test!A254,FIND(",",Test!A254)+1)+1,FIND(",",Test!A254,FIND(",",Test!A254,FIND(",",Test!A254)+1)+1)-FIND(",",Test!A254,FIND(",",Test!A254)+1)-1),"")))</f>
        <v/>
      </c>
      <c r="C254" t="str">
        <f>IF(ISNUMBER(FIND("Query",Test!A254)),RIGHT(Test!A254,LEN(Test!A254)-FIND(",",Test!A254,FIND(",",Test!A254,FIND(",",Test!A254,FIND(",",Test!A254)+1)+1)+1)),IF(Test!B254&lt;&gt;"",RIGHT(Test!B254,LEN(Test!B254)-FIND(",",Test!B254,FIND(",",Test!B254)+1)),IF(Test!A254&lt;&gt;"",MID(Test!A254,FIND(",",Test!A254,FIND(",",Test!A254,FIND(",",Test!A254)+1)+1)+1,LEN(Test!A254)-FIND(",",Test!A254,FIND(",",Test!A254,FIND(",",Test!A254)+1)+1)),""))) &amp; IF(Test!C254&lt;&gt;"", " " &amp; SUBSTITUTE(Test!C254,"-",""), "")</f>
        <v/>
      </c>
    </row>
    <row r="255" spans="1:3" x14ac:dyDescent="0.25">
      <c r="A255" t="str">
        <f>IF(Test!A255="", "", IF(ISNUMBER(FIND("Query",Test!A255)), "AS Query ZMMIMR91 , ZGRIR_ALV", IF(LEFT(Test!A255,1)="7", "AS " &amp; Test!A255, "AS " &amp; IF(Test!B255="",SUBSTITUTE(MID(Test!A255,FIND(",",Test!A255)+1,FIND(",",Test!A255,FIND(",",Test!A255)+1)-FIND(",",Test!A255)-1),"Cube ",""),LEFT(Test!B255,FIND(",",Test!B255)-1)))))</f>
        <v/>
      </c>
      <c r="B255" t="str">
        <f>IF(ISNUMBER(SEARCH("Query", Test!A255)), MID(Test!A255,FIND(",", Test!A255,FIND(",", Test!A255,FIND(",", Test!A255)+1)+1)+1, FIND(",", Test!A255,FIND(",", Test!A255,FIND(",", Test!A255,FIND(",", Test!A255)+1)+1)+1)-FIND(",", Test!A255,FIND(",", Test!A255,FIND(",", Test!A255)+1)+1)-1), IF(Test!B255&lt;&gt;"",MID(Test!B255,FIND(",",Test!B255)+1,FIND(",",Test!B255,FIND(",",Test!B255)+1)-FIND(",",Test!B255)-1),IF(Test!A255&lt;&gt;"",MID(Test!A255,FIND(",",Test!A255,FIND(",",Test!A255)+1)+1,FIND(",",Test!A255,FIND(",",Test!A255,FIND(",",Test!A255)+1)+1)-FIND(",",Test!A255,FIND(",",Test!A255)+1)-1),"")))</f>
        <v/>
      </c>
      <c r="C255" t="str">
        <f>IF(ISNUMBER(FIND("Query",Test!A255)),RIGHT(Test!A255,LEN(Test!A255)-FIND(",",Test!A255,FIND(",",Test!A255,FIND(",",Test!A255,FIND(",",Test!A255)+1)+1)+1)),IF(Test!B255&lt;&gt;"",RIGHT(Test!B255,LEN(Test!B255)-FIND(",",Test!B255,FIND(",",Test!B255)+1)),IF(Test!A255&lt;&gt;"",MID(Test!A255,FIND(",",Test!A255,FIND(",",Test!A255,FIND(",",Test!A255)+1)+1)+1,LEN(Test!A255)-FIND(",",Test!A255,FIND(",",Test!A255,FIND(",",Test!A255)+1)+1)),""))) &amp; IF(Test!C255&lt;&gt;"", " " &amp; SUBSTITUTE(Test!C255,"-",""), "")</f>
        <v/>
      </c>
    </row>
    <row r="256" spans="1:3" x14ac:dyDescent="0.25">
      <c r="A256" t="str">
        <f>IF(Test!A256="", "", IF(ISNUMBER(FIND("Query",Test!A256)), "AS Query ZMMIMR91 , ZGRIR_ALV", IF(LEFT(Test!A256,1)="7", "AS " &amp; Test!A256, "AS " &amp; IF(Test!B256="",SUBSTITUTE(MID(Test!A256,FIND(",",Test!A256)+1,FIND(",",Test!A256,FIND(",",Test!A256)+1)-FIND(",",Test!A256)-1),"Cube ",""),LEFT(Test!B256,FIND(",",Test!B256)-1)))))</f>
        <v/>
      </c>
      <c r="B256" t="str">
        <f>IF(ISNUMBER(SEARCH("Query", Test!A256)), MID(Test!A256,FIND(",", Test!A256,FIND(",", Test!A256,FIND(",", Test!A256)+1)+1)+1, FIND(",", Test!A256,FIND(",", Test!A256,FIND(",", Test!A256,FIND(",", Test!A256)+1)+1)+1)-FIND(",", Test!A256,FIND(",", Test!A256,FIND(",", Test!A256)+1)+1)-1), IF(Test!B256&lt;&gt;"",MID(Test!B256,FIND(",",Test!B256)+1,FIND(",",Test!B256,FIND(",",Test!B256)+1)-FIND(",",Test!B256)-1),IF(Test!A256&lt;&gt;"",MID(Test!A256,FIND(",",Test!A256,FIND(",",Test!A256)+1)+1,FIND(",",Test!A256,FIND(",",Test!A256,FIND(",",Test!A256)+1)+1)-FIND(",",Test!A256,FIND(",",Test!A256)+1)-1),"")))</f>
        <v/>
      </c>
      <c r="C256" t="str">
        <f>IF(ISNUMBER(FIND("Query",Test!A256)),RIGHT(Test!A256,LEN(Test!A256)-FIND(",",Test!A256,FIND(",",Test!A256,FIND(",",Test!A256,FIND(",",Test!A256)+1)+1)+1)),IF(Test!B256&lt;&gt;"",RIGHT(Test!B256,LEN(Test!B256)-FIND(",",Test!B256,FIND(",",Test!B256)+1)),IF(Test!A256&lt;&gt;"",MID(Test!A256,FIND(",",Test!A256,FIND(",",Test!A256,FIND(",",Test!A256)+1)+1)+1,LEN(Test!A256)-FIND(",",Test!A256,FIND(",",Test!A256,FIND(",",Test!A256)+1)+1)),""))) &amp; IF(Test!C256&lt;&gt;"", " " &amp; SUBSTITUTE(Test!C256,"-",""), "")</f>
        <v/>
      </c>
    </row>
    <row r="257" spans="1:3" x14ac:dyDescent="0.25">
      <c r="A257" t="str">
        <f>IF(Test!A257="", "", IF(ISNUMBER(FIND("Query",Test!A257)), "AS Query ZMMIMR91 , ZGRIR_ALV", IF(LEFT(Test!A257,1)="7", "AS " &amp; Test!A257, "AS " &amp; IF(Test!B257="",SUBSTITUTE(MID(Test!A257,FIND(",",Test!A257)+1,FIND(",",Test!A257,FIND(",",Test!A257)+1)-FIND(",",Test!A257)-1),"Cube ",""),LEFT(Test!B257,FIND(",",Test!B257)-1)))))</f>
        <v/>
      </c>
      <c r="B257" t="str">
        <f>IF(ISNUMBER(SEARCH("Query", Test!A257)), MID(Test!A257,FIND(",", Test!A257,FIND(",", Test!A257,FIND(",", Test!A257)+1)+1)+1, FIND(",", Test!A257,FIND(",", Test!A257,FIND(",", Test!A257,FIND(",", Test!A257)+1)+1)+1)-FIND(",", Test!A257,FIND(",", Test!A257,FIND(",", Test!A257)+1)+1)-1), IF(Test!B257&lt;&gt;"",MID(Test!B257,FIND(",",Test!B257)+1,FIND(",",Test!B257,FIND(",",Test!B257)+1)-FIND(",",Test!B257)-1),IF(Test!A257&lt;&gt;"",MID(Test!A257,FIND(",",Test!A257,FIND(",",Test!A257)+1)+1,FIND(",",Test!A257,FIND(",",Test!A257,FIND(",",Test!A257)+1)+1)-FIND(",",Test!A257,FIND(",",Test!A257)+1)-1),"")))</f>
        <v/>
      </c>
      <c r="C257" t="str">
        <f>IF(ISNUMBER(FIND("Query",Test!A257)),RIGHT(Test!A257,LEN(Test!A257)-FIND(",",Test!A257,FIND(",",Test!A257,FIND(",",Test!A257,FIND(",",Test!A257)+1)+1)+1)),IF(Test!B257&lt;&gt;"",RIGHT(Test!B257,LEN(Test!B257)-FIND(",",Test!B257,FIND(",",Test!B257)+1)),IF(Test!A257&lt;&gt;"",MID(Test!A257,FIND(",",Test!A257,FIND(",",Test!A257,FIND(",",Test!A257)+1)+1)+1,LEN(Test!A257)-FIND(",",Test!A257,FIND(",",Test!A257,FIND(",",Test!A257)+1)+1)),""))) &amp; IF(Test!C257&lt;&gt;"", " " &amp; SUBSTITUTE(Test!C257,"-",""), "")</f>
        <v/>
      </c>
    </row>
    <row r="258" spans="1:3" x14ac:dyDescent="0.25">
      <c r="A258" t="str">
        <f>IF(Test!A258="", "", IF(ISNUMBER(FIND("Query",Test!A258)), "AS Query ZMMIMR91 , ZGRIR_ALV", IF(LEFT(Test!A258,1)="7", "AS " &amp; Test!A258, "AS " &amp; IF(Test!B258="",SUBSTITUTE(MID(Test!A258,FIND(",",Test!A258)+1,FIND(",",Test!A258,FIND(",",Test!A258)+1)-FIND(",",Test!A258)-1),"Cube ",""),LEFT(Test!B258,FIND(",",Test!B258)-1)))))</f>
        <v/>
      </c>
      <c r="B258" t="str">
        <f>IF(ISNUMBER(SEARCH("Query", Test!A258)), MID(Test!A258,FIND(",", Test!A258,FIND(",", Test!A258,FIND(",", Test!A258)+1)+1)+1, FIND(",", Test!A258,FIND(",", Test!A258,FIND(",", Test!A258,FIND(",", Test!A258)+1)+1)+1)-FIND(",", Test!A258,FIND(",", Test!A258,FIND(",", Test!A258)+1)+1)-1), IF(Test!B258&lt;&gt;"",MID(Test!B258,FIND(",",Test!B258)+1,FIND(",",Test!B258,FIND(",",Test!B258)+1)-FIND(",",Test!B258)-1),IF(Test!A258&lt;&gt;"",MID(Test!A258,FIND(",",Test!A258,FIND(",",Test!A258)+1)+1,FIND(",",Test!A258,FIND(",",Test!A258,FIND(",",Test!A258)+1)+1)-FIND(",",Test!A258,FIND(",",Test!A258)+1)-1),"")))</f>
        <v/>
      </c>
      <c r="C258" t="str">
        <f>IF(ISNUMBER(FIND("Query",Test!A258)),RIGHT(Test!A258,LEN(Test!A258)-FIND(",",Test!A258,FIND(",",Test!A258,FIND(",",Test!A258,FIND(",",Test!A258)+1)+1)+1)),IF(Test!B258&lt;&gt;"",RIGHT(Test!B258,LEN(Test!B258)-FIND(",",Test!B258,FIND(",",Test!B258)+1)),IF(Test!A258&lt;&gt;"",MID(Test!A258,FIND(",",Test!A258,FIND(",",Test!A258,FIND(",",Test!A258)+1)+1)+1,LEN(Test!A258)-FIND(",",Test!A258,FIND(",",Test!A258,FIND(",",Test!A258)+1)+1)),""))) &amp; IF(Test!C258&lt;&gt;"", " " &amp; SUBSTITUTE(Test!C258,"-",""), "")</f>
        <v/>
      </c>
    </row>
    <row r="259" spans="1:3" x14ac:dyDescent="0.25">
      <c r="A259" t="str">
        <f>IF(Test!A259="", "", IF(ISNUMBER(FIND("Query",Test!A259)), "AS Query ZMMIMR91 , ZGRIR_ALV", IF(LEFT(Test!A259,1)="7", "AS " &amp; Test!A259, "AS " &amp; IF(Test!B259="",SUBSTITUTE(MID(Test!A259,FIND(",",Test!A259)+1,FIND(",",Test!A259,FIND(",",Test!A259)+1)-FIND(",",Test!A259)-1),"Cube ",""),LEFT(Test!B259,FIND(",",Test!B259)-1)))))</f>
        <v/>
      </c>
      <c r="B259" t="str">
        <f>IF(ISNUMBER(SEARCH("Query", Test!A259)), MID(Test!A259,FIND(",", Test!A259,FIND(",", Test!A259,FIND(",", Test!A259)+1)+1)+1, FIND(",", Test!A259,FIND(",", Test!A259,FIND(",", Test!A259,FIND(",", Test!A259)+1)+1)+1)-FIND(",", Test!A259,FIND(",", Test!A259,FIND(",", Test!A259)+1)+1)-1), IF(Test!B259&lt;&gt;"",MID(Test!B259,FIND(",",Test!B259)+1,FIND(",",Test!B259,FIND(",",Test!B259)+1)-FIND(",",Test!B259)-1),IF(Test!A259&lt;&gt;"",MID(Test!A259,FIND(",",Test!A259,FIND(",",Test!A259)+1)+1,FIND(",",Test!A259,FIND(",",Test!A259,FIND(",",Test!A259)+1)+1)-FIND(",",Test!A259,FIND(",",Test!A259)+1)-1),"")))</f>
        <v/>
      </c>
      <c r="C259" t="str">
        <f>IF(ISNUMBER(FIND("Query",Test!A259)),RIGHT(Test!A259,LEN(Test!A259)-FIND(",",Test!A259,FIND(",",Test!A259,FIND(",",Test!A259,FIND(",",Test!A259)+1)+1)+1)),IF(Test!B259&lt;&gt;"",RIGHT(Test!B259,LEN(Test!B259)-FIND(",",Test!B259,FIND(",",Test!B259)+1)),IF(Test!A259&lt;&gt;"",MID(Test!A259,FIND(",",Test!A259,FIND(",",Test!A259,FIND(",",Test!A259)+1)+1)+1,LEN(Test!A259)-FIND(",",Test!A259,FIND(",",Test!A259,FIND(",",Test!A259)+1)+1)),""))) &amp; IF(Test!C259&lt;&gt;"", " " &amp; SUBSTITUTE(Test!C259,"-",""), "")</f>
        <v/>
      </c>
    </row>
    <row r="260" spans="1:3" x14ac:dyDescent="0.25">
      <c r="A260" t="str">
        <f>IF(Test!A260="", "", IF(ISNUMBER(FIND("Query",Test!A260)), "AS Query ZMMIMR91 , ZGRIR_ALV", IF(LEFT(Test!A260,1)="7", "AS " &amp; Test!A260, "AS " &amp; IF(Test!B260="",SUBSTITUTE(MID(Test!A260,FIND(",",Test!A260)+1,FIND(",",Test!A260,FIND(",",Test!A260)+1)-FIND(",",Test!A260)-1),"Cube ",""),LEFT(Test!B260,FIND(",",Test!B260)-1)))))</f>
        <v/>
      </c>
      <c r="B260" t="str">
        <f>IF(ISNUMBER(SEARCH("Query", Test!A260)), MID(Test!A260,FIND(",", Test!A260,FIND(",", Test!A260,FIND(",", Test!A260)+1)+1)+1, FIND(",", Test!A260,FIND(",", Test!A260,FIND(",", Test!A260,FIND(",", Test!A260)+1)+1)+1)-FIND(",", Test!A260,FIND(",", Test!A260,FIND(",", Test!A260)+1)+1)-1), IF(Test!B260&lt;&gt;"",MID(Test!B260,FIND(",",Test!B260)+1,FIND(",",Test!B260,FIND(",",Test!B260)+1)-FIND(",",Test!B260)-1),IF(Test!A260&lt;&gt;"",MID(Test!A260,FIND(",",Test!A260,FIND(",",Test!A260)+1)+1,FIND(",",Test!A260,FIND(",",Test!A260,FIND(",",Test!A260)+1)+1)-FIND(",",Test!A260,FIND(",",Test!A260)+1)-1),"")))</f>
        <v/>
      </c>
      <c r="C260" t="str">
        <f>IF(ISNUMBER(FIND("Query",Test!A260)),RIGHT(Test!A260,LEN(Test!A260)-FIND(",",Test!A260,FIND(",",Test!A260,FIND(",",Test!A260,FIND(",",Test!A260)+1)+1)+1)),IF(Test!B260&lt;&gt;"",RIGHT(Test!B260,LEN(Test!B260)-FIND(",",Test!B260,FIND(",",Test!B260)+1)),IF(Test!A260&lt;&gt;"",MID(Test!A260,FIND(",",Test!A260,FIND(",",Test!A260,FIND(",",Test!A260)+1)+1)+1,LEN(Test!A260)-FIND(",",Test!A260,FIND(",",Test!A260,FIND(",",Test!A260)+1)+1)),""))) &amp; IF(Test!C260&lt;&gt;"", " " &amp; SUBSTITUTE(Test!C260,"-",""), "")</f>
        <v/>
      </c>
    </row>
    <row r="261" spans="1:3" x14ac:dyDescent="0.25">
      <c r="A261" t="str">
        <f>IF(Test!A261="", "", IF(ISNUMBER(FIND("Query",Test!A261)), "AS Query ZMMIMR91 , ZGRIR_ALV", IF(LEFT(Test!A261,1)="7", "AS " &amp; Test!A261, "AS " &amp; IF(Test!B261="",SUBSTITUTE(MID(Test!A261,FIND(",",Test!A261)+1,FIND(",",Test!A261,FIND(",",Test!A261)+1)-FIND(",",Test!A261)-1),"Cube ",""),LEFT(Test!B261,FIND(",",Test!B261)-1)))))</f>
        <v/>
      </c>
      <c r="B261" t="str">
        <f>IF(ISNUMBER(SEARCH("Query", Test!A261)), MID(Test!A261,FIND(",", Test!A261,FIND(",", Test!A261,FIND(",", Test!A261)+1)+1)+1, FIND(",", Test!A261,FIND(",", Test!A261,FIND(",", Test!A261,FIND(",", Test!A261)+1)+1)+1)-FIND(",", Test!A261,FIND(",", Test!A261,FIND(",", Test!A261)+1)+1)-1), IF(Test!B261&lt;&gt;"",MID(Test!B261,FIND(",",Test!B261)+1,FIND(",",Test!B261,FIND(",",Test!B261)+1)-FIND(",",Test!B261)-1),IF(Test!A261&lt;&gt;"",MID(Test!A261,FIND(",",Test!A261,FIND(",",Test!A261)+1)+1,FIND(",",Test!A261,FIND(",",Test!A261,FIND(",",Test!A261)+1)+1)-FIND(",",Test!A261,FIND(",",Test!A261)+1)-1),"")))</f>
        <v/>
      </c>
      <c r="C261" t="str">
        <f>IF(ISNUMBER(FIND("Query",Test!A261)),RIGHT(Test!A261,LEN(Test!A261)-FIND(",",Test!A261,FIND(",",Test!A261,FIND(",",Test!A261,FIND(",",Test!A261)+1)+1)+1)),IF(Test!B261&lt;&gt;"",RIGHT(Test!B261,LEN(Test!B261)-FIND(",",Test!B261,FIND(",",Test!B261)+1)),IF(Test!A261&lt;&gt;"",MID(Test!A261,FIND(",",Test!A261,FIND(",",Test!A261,FIND(",",Test!A261)+1)+1)+1,LEN(Test!A261)-FIND(",",Test!A261,FIND(",",Test!A261,FIND(",",Test!A261)+1)+1)),""))) &amp; IF(Test!C261&lt;&gt;"", " " &amp; SUBSTITUTE(Test!C261,"-",""), "")</f>
        <v/>
      </c>
    </row>
    <row r="262" spans="1:3" x14ac:dyDescent="0.25">
      <c r="A262" t="str">
        <f>IF(Test!A262="", "", IF(ISNUMBER(FIND("Query",Test!A262)), "AS Query ZMMIMR91 , ZGRIR_ALV", IF(LEFT(Test!A262,1)="7", "AS " &amp; Test!A262, "AS " &amp; IF(Test!B262="",SUBSTITUTE(MID(Test!A262,FIND(",",Test!A262)+1,FIND(",",Test!A262,FIND(",",Test!A262)+1)-FIND(",",Test!A262)-1),"Cube ",""),LEFT(Test!B262,FIND(",",Test!B262)-1)))))</f>
        <v/>
      </c>
      <c r="B262" t="str">
        <f>IF(ISNUMBER(SEARCH("Query", Test!A262)), MID(Test!A262,FIND(",", Test!A262,FIND(",", Test!A262,FIND(",", Test!A262)+1)+1)+1, FIND(",", Test!A262,FIND(",", Test!A262,FIND(",", Test!A262,FIND(",", Test!A262)+1)+1)+1)-FIND(",", Test!A262,FIND(",", Test!A262,FIND(",", Test!A262)+1)+1)-1), IF(Test!B262&lt;&gt;"",MID(Test!B262,FIND(",",Test!B262)+1,FIND(",",Test!B262,FIND(",",Test!B262)+1)-FIND(",",Test!B262)-1),IF(Test!A262&lt;&gt;"",MID(Test!A262,FIND(",",Test!A262,FIND(",",Test!A262)+1)+1,FIND(",",Test!A262,FIND(",",Test!A262,FIND(",",Test!A262)+1)+1)-FIND(",",Test!A262,FIND(",",Test!A262)+1)-1),"")))</f>
        <v/>
      </c>
      <c r="C262" t="str">
        <f>IF(ISNUMBER(FIND("Query",Test!A262)),RIGHT(Test!A262,LEN(Test!A262)-FIND(",",Test!A262,FIND(",",Test!A262,FIND(",",Test!A262,FIND(",",Test!A262)+1)+1)+1)),IF(Test!B262&lt;&gt;"",RIGHT(Test!B262,LEN(Test!B262)-FIND(",",Test!B262,FIND(",",Test!B262)+1)),IF(Test!A262&lt;&gt;"",MID(Test!A262,FIND(",",Test!A262,FIND(",",Test!A262,FIND(",",Test!A262)+1)+1)+1,LEN(Test!A262)-FIND(",",Test!A262,FIND(",",Test!A262,FIND(",",Test!A262)+1)+1)),""))) &amp; IF(Test!C262&lt;&gt;"", " " &amp; SUBSTITUTE(Test!C262,"-",""), "")</f>
        <v/>
      </c>
    </row>
    <row r="263" spans="1:3" x14ac:dyDescent="0.25">
      <c r="A263" t="str">
        <f>IF(Test!A263="", "", IF(ISNUMBER(FIND("Query",Test!A263)), "AS Query ZMMIMR91 , ZGRIR_ALV", IF(LEFT(Test!A263,1)="7", "AS " &amp; Test!A263, "AS " &amp; IF(Test!B263="",SUBSTITUTE(MID(Test!A263,FIND(",",Test!A263)+1,FIND(",",Test!A263,FIND(",",Test!A263)+1)-FIND(",",Test!A263)-1),"Cube ",""),LEFT(Test!B263,FIND(",",Test!B263)-1)))))</f>
        <v/>
      </c>
      <c r="B263" t="str">
        <f>IF(ISNUMBER(SEARCH("Query", Test!A263)), MID(Test!A263,FIND(",", Test!A263,FIND(",", Test!A263,FIND(",", Test!A263)+1)+1)+1, FIND(",", Test!A263,FIND(",", Test!A263,FIND(",", Test!A263,FIND(",", Test!A263)+1)+1)+1)-FIND(",", Test!A263,FIND(",", Test!A263,FIND(",", Test!A263)+1)+1)-1), IF(Test!B263&lt;&gt;"",MID(Test!B263,FIND(",",Test!B263)+1,FIND(",",Test!B263,FIND(",",Test!B263)+1)-FIND(",",Test!B263)-1),IF(Test!A263&lt;&gt;"",MID(Test!A263,FIND(",",Test!A263,FIND(",",Test!A263)+1)+1,FIND(",",Test!A263,FIND(",",Test!A263,FIND(",",Test!A263)+1)+1)-FIND(",",Test!A263,FIND(",",Test!A263)+1)-1),"")))</f>
        <v/>
      </c>
      <c r="C263" t="str">
        <f>IF(ISNUMBER(FIND("Query",Test!A263)),RIGHT(Test!A263,LEN(Test!A263)-FIND(",",Test!A263,FIND(",",Test!A263,FIND(",",Test!A263,FIND(",",Test!A263)+1)+1)+1)),IF(Test!B263&lt;&gt;"",RIGHT(Test!B263,LEN(Test!B263)-FIND(",",Test!B263,FIND(",",Test!B263)+1)),IF(Test!A263&lt;&gt;"",MID(Test!A263,FIND(",",Test!A263,FIND(",",Test!A263,FIND(",",Test!A263)+1)+1)+1,LEN(Test!A263)-FIND(",",Test!A263,FIND(",",Test!A263,FIND(",",Test!A263)+1)+1)),""))) &amp; IF(Test!C263&lt;&gt;"", " " &amp; SUBSTITUTE(Test!C263,"-",""), "")</f>
        <v/>
      </c>
    </row>
    <row r="264" spans="1:3" x14ac:dyDescent="0.25">
      <c r="A264" t="str">
        <f>IF(Test!A264="", "", IF(ISNUMBER(FIND("Query",Test!A264)), "AS Query ZMMIMR91 , ZGRIR_ALV", IF(LEFT(Test!A264,1)="7", "AS " &amp; Test!A264, "AS " &amp; IF(Test!B264="",SUBSTITUTE(MID(Test!A264,FIND(",",Test!A264)+1,FIND(",",Test!A264,FIND(",",Test!A264)+1)-FIND(",",Test!A264)-1),"Cube ",""),LEFT(Test!B264,FIND(",",Test!B264)-1)))))</f>
        <v/>
      </c>
      <c r="B264" t="str">
        <f>IF(ISNUMBER(SEARCH("Query", Test!A264)), MID(Test!A264,FIND(",", Test!A264,FIND(",", Test!A264,FIND(",", Test!A264)+1)+1)+1, FIND(",", Test!A264,FIND(",", Test!A264,FIND(",", Test!A264,FIND(",", Test!A264)+1)+1)+1)-FIND(",", Test!A264,FIND(",", Test!A264,FIND(",", Test!A264)+1)+1)-1), IF(Test!B264&lt;&gt;"",MID(Test!B264,FIND(",",Test!B264)+1,FIND(",",Test!B264,FIND(",",Test!B264)+1)-FIND(",",Test!B264)-1),IF(Test!A264&lt;&gt;"",MID(Test!A264,FIND(",",Test!A264,FIND(",",Test!A264)+1)+1,FIND(",",Test!A264,FIND(",",Test!A264,FIND(",",Test!A264)+1)+1)-FIND(",",Test!A264,FIND(",",Test!A264)+1)-1),"")))</f>
        <v/>
      </c>
      <c r="C264" t="str">
        <f>IF(ISNUMBER(FIND("Query",Test!A264)),RIGHT(Test!A264,LEN(Test!A264)-FIND(",",Test!A264,FIND(",",Test!A264,FIND(",",Test!A264,FIND(",",Test!A264)+1)+1)+1)),IF(Test!B264&lt;&gt;"",RIGHT(Test!B264,LEN(Test!B264)-FIND(",",Test!B264,FIND(",",Test!B264)+1)),IF(Test!A264&lt;&gt;"",MID(Test!A264,FIND(",",Test!A264,FIND(",",Test!A264,FIND(",",Test!A264)+1)+1)+1,LEN(Test!A264)-FIND(",",Test!A264,FIND(",",Test!A264,FIND(",",Test!A264)+1)+1)),""))) &amp; IF(Test!C264&lt;&gt;"", " " &amp; SUBSTITUTE(Test!C264,"-",""), "")</f>
        <v/>
      </c>
    </row>
    <row r="265" spans="1:3" x14ac:dyDescent="0.25">
      <c r="A265" t="str">
        <f>IF(Test!A265="", "", IF(ISNUMBER(FIND("Query",Test!A265)), "AS Query ZMMIMR91 , ZGRIR_ALV", IF(LEFT(Test!A265,1)="7", "AS " &amp; Test!A265, "AS " &amp; IF(Test!B265="",SUBSTITUTE(MID(Test!A265,FIND(",",Test!A265)+1,FIND(",",Test!A265,FIND(",",Test!A265)+1)-FIND(",",Test!A265)-1),"Cube ",""),LEFT(Test!B265,FIND(",",Test!B265)-1)))))</f>
        <v/>
      </c>
      <c r="B265" t="str">
        <f>IF(ISNUMBER(SEARCH("Query", Test!A265)), MID(Test!A265,FIND(",", Test!A265,FIND(",", Test!A265,FIND(",", Test!A265)+1)+1)+1, FIND(",", Test!A265,FIND(",", Test!A265,FIND(",", Test!A265,FIND(",", Test!A265)+1)+1)+1)-FIND(",", Test!A265,FIND(",", Test!A265,FIND(",", Test!A265)+1)+1)-1), IF(Test!B265&lt;&gt;"",MID(Test!B265,FIND(",",Test!B265)+1,FIND(",",Test!B265,FIND(",",Test!B265)+1)-FIND(",",Test!B265)-1),IF(Test!A265&lt;&gt;"",MID(Test!A265,FIND(",",Test!A265,FIND(",",Test!A265)+1)+1,FIND(",",Test!A265,FIND(",",Test!A265,FIND(",",Test!A265)+1)+1)-FIND(",",Test!A265,FIND(",",Test!A265)+1)-1),"")))</f>
        <v/>
      </c>
      <c r="C265" t="str">
        <f>IF(ISNUMBER(FIND("Query",Test!A265)),RIGHT(Test!A265,LEN(Test!A265)-FIND(",",Test!A265,FIND(",",Test!A265,FIND(",",Test!A265,FIND(",",Test!A265)+1)+1)+1)),IF(Test!B265&lt;&gt;"",RIGHT(Test!B265,LEN(Test!B265)-FIND(",",Test!B265,FIND(",",Test!B265)+1)),IF(Test!A265&lt;&gt;"",MID(Test!A265,FIND(",",Test!A265,FIND(",",Test!A265,FIND(",",Test!A265)+1)+1)+1,LEN(Test!A265)-FIND(",",Test!A265,FIND(",",Test!A265,FIND(",",Test!A265)+1)+1)),""))) &amp; IF(Test!C265&lt;&gt;"", " " &amp; SUBSTITUTE(Test!C265,"-",""), "")</f>
        <v/>
      </c>
    </row>
    <row r="266" spans="1:3" x14ac:dyDescent="0.25">
      <c r="A266" t="str">
        <f>IF(Test!A266="", "", IF(ISNUMBER(FIND("Query",Test!A266)), "AS Query ZMMIMR91 , ZGRIR_ALV", IF(LEFT(Test!A266,1)="7", "AS " &amp; Test!A266, "AS " &amp; IF(Test!B266="",SUBSTITUTE(MID(Test!A266,FIND(",",Test!A266)+1,FIND(",",Test!A266,FIND(",",Test!A266)+1)-FIND(",",Test!A266)-1),"Cube ",""),LEFT(Test!B266,FIND(",",Test!B266)-1)))))</f>
        <v/>
      </c>
      <c r="B266" t="str">
        <f>IF(ISNUMBER(SEARCH("Query", Test!A266)), MID(Test!A266,FIND(",", Test!A266,FIND(",", Test!A266,FIND(",", Test!A266)+1)+1)+1, FIND(",", Test!A266,FIND(",", Test!A266,FIND(",", Test!A266,FIND(",", Test!A266)+1)+1)+1)-FIND(",", Test!A266,FIND(",", Test!A266,FIND(",", Test!A266)+1)+1)-1), IF(Test!B266&lt;&gt;"",MID(Test!B266,FIND(",",Test!B266)+1,FIND(",",Test!B266,FIND(",",Test!B266)+1)-FIND(",",Test!B266)-1),IF(Test!A266&lt;&gt;"",MID(Test!A266,FIND(",",Test!A266,FIND(",",Test!A266)+1)+1,FIND(",",Test!A266,FIND(",",Test!A266,FIND(",",Test!A266)+1)+1)-FIND(",",Test!A266,FIND(",",Test!A266)+1)-1),"")))</f>
        <v/>
      </c>
      <c r="C266" t="str">
        <f>IF(ISNUMBER(FIND("Query",Test!A266)),RIGHT(Test!A266,LEN(Test!A266)-FIND(",",Test!A266,FIND(",",Test!A266,FIND(",",Test!A266,FIND(",",Test!A266)+1)+1)+1)),IF(Test!B266&lt;&gt;"",RIGHT(Test!B266,LEN(Test!B266)-FIND(",",Test!B266,FIND(",",Test!B266)+1)),IF(Test!A266&lt;&gt;"",MID(Test!A266,FIND(",",Test!A266,FIND(",",Test!A266,FIND(",",Test!A266)+1)+1)+1,LEN(Test!A266)-FIND(",",Test!A266,FIND(",",Test!A266,FIND(",",Test!A266)+1)+1)),""))) &amp; IF(Test!C266&lt;&gt;"", " " &amp; SUBSTITUTE(Test!C266,"-",""), "")</f>
        <v/>
      </c>
    </row>
    <row r="267" spans="1:3" x14ac:dyDescent="0.25">
      <c r="A267" t="str">
        <f>IF(Test!A267="", "", IF(ISNUMBER(FIND("Query",Test!A267)), "AS Query ZMMIMR91 , ZGRIR_ALV", IF(LEFT(Test!A267,1)="7", "AS " &amp; Test!A267, "AS " &amp; IF(Test!B267="",SUBSTITUTE(MID(Test!A267,FIND(",",Test!A267)+1,FIND(",",Test!A267,FIND(",",Test!A267)+1)-FIND(",",Test!A267)-1),"Cube ",""),LEFT(Test!B267,FIND(",",Test!B267)-1)))))</f>
        <v/>
      </c>
      <c r="B267" t="str">
        <f>IF(ISNUMBER(SEARCH("Query", Test!A267)), MID(Test!A267,FIND(",", Test!A267,FIND(",", Test!A267,FIND(",", Test!A267)+1)+1)+1, FIND(",", Test!A267,FIND(",", Test!A267,FIND(",", Test!A267,FIND(",", Test!A267)+1)+1)+1)-FIND(",", Test!A267,FIND(",", Test!A267,FIND(",", Test!A267)+1)+1)-1), IF(Test!B267&lt;&gt;"",MID(Test!B267,FIND(",",Test!B267)+1,FIND(",",Test!B267,FIND(",",Test!B267)+1)-FIND(",",Test!B267)-1),IF(Test!A267&lt;&gt;"",MID(Test!A267,FIND(",",Test!A267,FIND(",",Test!A267)+1)+1,FIND(",",Test!A267,FIND(",",Test!A267,FIND(",",Test!A267)+1)+1)-FIND(",",Test!A267,FIND(",",Test!A267)+1)-1),"")))</f>
        <v/>
      </c>
      <c r="C267" t="str">
        <f>IF(ISNUMBER(FIND("Query",Test!A267)),RIGHT(Test!A267,LEN(Test!A267)-FIND(",",Test!A267,FIND(",",Test!A267,FIND(",",Test!A267,FIND(",",Test!A267)+1)+1)+1)),IF(Test!B267&lt;&gt;"",RIGHT(Test!B267,LEN(Test!B267)-FIND(",",Test!B267,FIND(",",Test!B267)+1)),IF(Test!A267&lt;&gt;"",MID(Test!A267,FIND(",",Test!A267,FIND(",",Test!A267,FIND(",",Test!A267)+1)+1)+1,LEN(Test!A267)-FIND(",",Test!A267,FIND(",",Test!A267,FIND(",",Test!A267)+1)+1)),""))) &amp; IF(Test!C267&lt;&gt;"", " " &amp; SUBSTITUTE(Test!C267,"-",""), "")</f>
        <v/>
      </c>
    </row>
    <row r="268" spans="1:3" x14ac:dyDescent="0.25">
      <c r="A268" t="str">
        <f>IF(Test!A268="", "", IF(ISNUMBER(FIND("Query",Test!A268)), "AS Query ZMMIMR91 , ZGRIR_ALV", IF(LEFT(Test!A268,1)="7", "AS " &amp; Test!A268, "AS " &amp; IF(Test!B268="",SUBSTITUTE(MID(Test!A268,FIND(",",Test!A268)+1,FIND(",",Test!A268,FIND(",",Test!A268)+1)-FIND(",",Test!A268)-1),"Cube ",""),LEFT(Test!B268,FIND(",",Test!B268)-1)))))</f>
        <v/>
      </c>
      <c r="B268" t="str">
        <f>IF(ISNUMBER(SEARCH("Query", Test!A268)), MID(Test!A268,FIND(",", Test!A268,FIND(",", Test!A268,FIND(",", Test!A268)+1)+1)+1, FIND(",", Test!A268,FIND(",", Test!A268,FIND(",", Test!A268,FIND(",", Test!A268)+1)+1)+1)-FIND(",", Test!A268,FIND(",", Test!A268,FIND(",", Test!A268)+1)+1)-1), IF(Test!B268&lt;&gt;"",MID(Test!B268,FIND(",",Test!B268)+1,FIND(",",Test!B268,FIND(",",Test!B268)+1)-FIND(",",Test!B268)-1),IF(Test!A268&lt;&gt;"",MID(Test!A268,FIND(",",Test!A268,FIND(",",Test!A268)+1)+1,FIND(",",Test!A268,FIND(",",Test!A268,FIND(",",Test!A268)+1)+1)-FIND(",",Test!A268,FIND(",",Test!A268)+1)-1),"")))</f>
        <v/>
      </c>
      <c r="C268" t="str">
        <f>IF(ISNUMBER(FIND("Query",Test!A268)),RIGHT(Test!A268,LEN(Test!A268)-FIND(",",Test!A268,FIND(",",Test!A268,FIND(",",Test!A268,FIND(",",Test!A268)+1)+1)+1)),IF(Test!B268&lt;&gt;"",RIGHT(Test!B268,LEN(Test!B268)-FIND(",",Test!B268,FIND(",",Test!B268)+1)),IF(Test!A268&lt;&gt;"",MID(Test!A268,FIND(",",Test!A268,FIND(",",Test!A268,FIND(",",Test!A268)+1)+1)+1,LEN(Test!A268)-FIND(",",Test!A268,FIND(",",Test!A268,FIND(",",Test!A268)+1)+1)),""))) &amp; IF(Test!C268&lt;&gt;"", " " &amp; SUBSTITUTE(Test!C268,"-",""), "")</f>
        <v/>
      </c>
    </row>
    <row r="269" spans="1:3" x14ac:dyDescent="0.25">
      <c r="A269" t="str">
        <f>IF(Test!A269="", "", IF(ISNUMBER(FIND("Query",Test!A269)), "AS Query ZMMIMR91 , ZGRIR_ALV", IF(LEFT(Test!A269,1)="7", "AS " &amp; Test!A269, "AS " &amp; IF(Test!B269="",SUBSTITUTE(MID(Test!A269,FIND(",",Test!A269)+1,FIND(",",Test!A269,FIND(",",Test!A269)+1)-FIND(",",Test!A269)-1),"Cube ",""),LEFT(Test!B269,FIND(",",Test!B269)-1)))))</f>
        <v/>
      </c>
      <c r="B269" t="str">
        <f>IF(ISNUMBER(SEARCH("Query", Test!A269)), MID(Test!A269,FIND(",", Test!A269,FIND(",", Test!A269,FIND(",", Test!A269)+1)+1)+1, FIND(",", Test!A269,FIND(",", Test!A269,FIND(",", Test!A269,FIND(",", Test!A269)+1)+1)+1)-FIND(",", Test!A269,FIND(",", Test!A269,FIND(",", Test!A269)+1)+1)-1), IF(Test!B269&lt;&gt;"",MID(Test!B269,FIND(",",Test!B269)+1,FIND(",",Test!B269,FIND(",",Test!B269)+1)-FIND(",",Test!B269)-1),IF(Test!A269&lt;&gt;"",MID(Test!A269,FIND(",",Test!A269,FIND(",",Test!A269)+1)+1,FIND(",",Test!A269,FIND(",",Test!A269,FIND(",",Test!A269)+1)+1)-FIND(",",Test!A269,FIND(",",Test!A269)+1)-1),"")))</f>
        <v/>
      </c>
      <c r="C269" t="str">
        <f>IF(ISNUMBER(FIND("Query",Test!A269)),RIGHT(Test!A269,LEN(Test!A269)-FIND(",",Test!A269,FIND(",",Test!A269,FIND(",",Test!A269,FIND(",",Test!A269)+1)+1)+1)),IF(Test!B269&lt;&gt;"",RIGHT(Test!B269,LEN(Test!B269)-FIND(",",Test!B269,FIND(",",Test!B269)+1)),IF(Test!A269&lt;&gt;"",MID(Test!A269,FIND(",",Test!A269,FIND(",",Test!A269,FIND(",",Test!A269)+1)+1)+1,LEN(Test!A269)-FIND(",",Test!A269,FIND(",",Test!A269,FIND(",",Test!A269)+1)+1)),""))) &amp; IF(Test!C269&lt;&gt;"", " " &amp; SUBSTITUTE(Test!C269,"-",""), "")</f>
        <v/>
      </c>
    </row>
    <row r="270" spans="1:3" x14ac:dyDescent="0.25">
      <c r="A270" t="str">
        <f>IF(Test!A270="", "", IF(ISNUMBER(FIND("Query",Test!A270)), "AS Query ZMMIMR91 , ZGRIR_ALV", IF(LEFT(Test!A270,1)="7", "AS " &amp; Test!A270, "AS " &amp; IF(Test!B270="",SUBSTITUTE(MID(Test!A270,FIND(",",Test!A270)+1,FIND(",",Test!A270,FIND(",",Test!A270)+1)-FIND(",",Test!A270)-1),"Cube ",""),LEFT(Test!B270,FIND(",",Test!B270)-1)))))</f>
        <v/>
      </c>
      <c r="B270" t="str">
        <f>IF(ISNUMBER(SEARCH("Query", Test!A270)), MID(Test!A270,FIND(",", Test!A270,FIND(",", Test!A270,FIND(",", Test!A270)+1)+1)+1, FIND(",", Test!A270,FIND(",", Test!A270,FIND(",", Test!A270,FIND(",", Test!A270)+1)+1)+1)-FIND(",", Test!A270,FIND(",", Test!A270,FIND(",", Test!A270)+1)+1)-1), IF(Test!B270&lt;&gt;"",MID(Test!B270,FIND(",",Test!B270)+1,FIND(",",Test!B270,FIND(",",Test!B270)+1)-FIND(",",Test!B270)-1),IF(Test!A270&lt;&gt;"",MID(Test!A270,FIND(",",Test!A270,FIND(",",Test!A270)+1)+1,FIND(",",Test!A270,FIND(",",Test!A270,FIND(",",Test!A270)+1)+1)-FIND(",",Test!A270,FIND(",",Test!A270)+1)-1),"")))</f>
        <v/>
      </c>
      <c r="C270" t="str">
        <f>IF(ISNUMBER(FIND("Query",Test!A270)),RIGHT(Test!A270,LEN(Test!A270)-FIND(",",Test!A270,FIND(",",Test!A270,FIND(",",Test!A270,FIND(",",Test!A270)+1)+1)+1)),IF(Test!B270&lt;&gt;"",RIGHT(Test!B270,LEN(Test!B270)-FIND(",",Test!B270,FIND(",",Test!B270)+1)),IF(Test!A270&lt;&gt;"",MID(Test!A270,FIND(",",Test!A270,FIND(",",Test!A270,FIND(",",Test!A270)+1)+1)+1,LEN(Test!A270)-FIND(",",Test!A270,FIND(",",Test!A270,FIND(",",Test!A270)+1)+1)),""))) &amp; IF(Test!C270&lt;&gt;"", " " &amp; SUBSTITUTE(Test!C270,"-",""), "")</f>
        <v/>
      </c>
    </row>
    <row r="271" spans="1:3" x14ac:dyDescent="0.25">
      <c r="A271" t="str">
        <f>IF(Test!A271="", "", IF(ISNUMBER(FIND("Query",Test!A271)), "AS Query ZMMIMR91 , ZGRIR_ALV", IF(LEFT(Test!A271,1)="7", "AS " &amp; Test!A271, "AS " &amp; IF(Test!B271="",SUBSTITUTE(MID(Test!A271,FIND(",",Test!A271)+1,FIND(",",Test!A271,FIND(",",Test!A271)+1)-FIND(",",Test!A271)-1),"Cube ",""),LEFT(Test!B271,FIND(",",Test!B271)-1)))))</f>
        <v/>
      </c>
      <c r="B271" t="str">
        <f>IF(ISNUMBER(SEARCH("Query", Test!A271)), MID(Test!A271,FIND(",", Test!A271,FIND(",", Test!A271,FIND(",", Test!A271)+1)+1)+1, FIND(",", Test!A271,FIND(",", Test!A271,FIND(",", Test!A271,FIND(",", Test!A271)+1)+1)+1)-FIND(",", Test!A271,FIND(",", Test!A271,FIND(",", Test!A271)+1)+1)-1), IF(Test!B271&lt;&gt;"",MID(Test!B271,FIND(",",Test!B271)+1,FIND(",",Test!B271,FIND(",",Test!B271)+1)-FIND(",",Test!B271)-1),IF(Test!A271&lt;&gt;"",MID(Test!A271,FIND(",",Test!A271,FIND(",",Test!A271)+1)+1,FIND(",",Test!A271,FIND(",",Test!A271,FIND(",",Test!A271)+1)+1)-FIND(",",Test!A271,FIND(",",Test!A271)+1)-1),"")))</f>
        <v/>
      </c>
      <c r="C271" t="str">
        <f>IF(ISNUMBER(FIND("Query",Test!A271)),RIGHT(Test!A271,LEN(Test!A271)-FIND(",",Test!A271,FIND(",",Test!A271,FIND(",",Test!A271,FIND(",",Test!A271)+1)+1)+1)),IF(Test!B271&lt;&gt;"",RIGHT(Test!B271,LEN(Test!B271)-FIND(",",Test!B271,FIND(",",Test!B271)+1)),IF(Test!A271&lt;&gt;"",MID(Test!A271,FIND(",",Test!A271,FIND(",",Test!A271,FIND(",",Test!A271)+1)+1)+1,LEN(Test!A271)-FIND(",",Test!A271,FIND(",",Test!A271,FIND(",",Test!A271)+1)+1)),""))) &amp; IF(Test!C271&lt;&gt;"", " " &amp; SUBSTITUTE(Test!C271,"-",""), "")</f>
        <v/>
      </c>
    </row>
    <row r="272" spans="1:3" x14ac:dyDescent="0.25">
      <c r="A272" t="str">
        <f>IF(Test!A272="", "", IF(ISNUMBER(FIND("Query",Test!A272)), "AS Query ZMMIMR91 , ZGRIR_ALV", IF(LEFT(Test!A272,1)="7", "AS " &amp; Test!A272, "AS " &amp; IF(Test!B272="",SUBSTITUTE(MID(Test!A272,FIND(",",Test!A272)+1,FIND(",",Test!A272,FIND(",",Test!A272)+1)-FIND(",",Test!A272)-1),"Cube ",""),LEFT(Test!B272,FIND(",",Test!B272)-1)))))</f>
        <v/>
      </c>
      <c r="B272" t="str">
        <f>IF(ISNUMBER(SEARCH("Query", Test!A272)), MID(Test!A272,FIND(",", Test!A272,FIND(",", Test!A272,FIND(",", Test!A272)+1)+1)+1, FIND(",", Test!A272,FIND(",", Test!A272,FIND(",", Test!A272,FIND(",", Test!A272)+1)+1)+1)-FIND(",", Test!A272,FIND(",", Test!A272,FIND(",", Test!A272)+1)+1)-1), IF(Test!B272&lt;&gt;"",MID(Test!B272,FIND(",",Test!B272)+1,FIND(",",Test!B272,FIND(",",Test!B272)+1)-FIND(",",Test!B272)-1),IF(Test!A272&lt;&gt;"",MID(Test!A272,FIND(",",Test!A272,FIND(",",Test!A272)+1)+1,FIND(",",Test!A272,FIND(",",Test!A272,FIND(",",Test!A272)+1)+1)-FIND(",",Test!A272,FIND(",",Test!A272)+1)-1),"")))</f>
        <v/>
      </c>
      <c r="C272" t="str">
        <f>IF(ISNUMBER(FIND("Query",Test!A272)),RIGHT(Test!A272,LEN(Test!A272)-FIND(",",Test!A272,FIND(",",Test!A272,FIND(",",Test!A272,FIND(",",Test!A272)+1)+1)+1)),IF(Test!B272&lt;&gt;"",RIGHT(Test!B272,LEN(Test!B272)-FIND(",",Test!B272,FIND(",",Test!B272)+1)),IF(Test!A272&lt;&gt;"",MID(Test!A272,FIND(",",Test!A272,FIND(",",Test!A272,FIND(",",Test!A272)+1)+1)+1,LEN(Test!A272)-FIND(",",Test!A272,FIND(",",Test!A272,FIND(",",Test!A272)+1)+1)),""))) &amp; IF(Test!C272&lt;&gt;"", " " &amp; SUBSTITUTE(Test!C272,"-",""), "")</f>
        <v/>
      </c>
    </row>
    <row r="273" spans="1:3" x14ac:dyDescent="0.25">
      <c r="A273" t="str">
        <f>IF(Test!A273="", "", IF(ISNUMBER(FIND("Query",Test!A273)), "AS Query ZMMIMR91 , ZGRIR_ALV", IF(LEFT(Test!A273,1)="7", "AS " &amp; Test!A273, "AS " &amp; IF(Test!B273="",SUBSTITUTE(MID(Test!A273,FIND(",",Test!A273)+1,FIND(",",Test!A273,FIND(",",Test!A273)+1)-FIND(",",Test!A273)-1),"Cube ",""),LEFT(Test!B273,FIND(",",Test!B273)-1)))))</f>
        <v/>
      </c>
      <c r="B273" t="str">
        <f>IF(ISNUMBER(SEARCH("Query", Test!A273)), MID(Test!A273,FIND(",", Test!A273,FIND(",", Test!A273,FIND(",", Test!A273)+1)+1)+1, FIND(",", Test!A273,FIND(",", Test!A273,FIND(",", Test!A273,FIND(",", Test!A273)+1)+1)+1)-FIND(",", Test!A273,FIND(",", Test!A273,FIND(",", Test!A273)+1)+1)-1), IF(Test!B273&lt;&gt;"",MID(Test!B273,FIND(",",Test!B273)+1,FIND(",",Test!B273,FIND(",",Test!B273)+1)-FIND(",",Test!B273)-1),IF(Test!A273&lt;&gt;"",MID(Test!A273,FIND(",",Test!A273,FIND(",",Test!A273)+1)+1,FIND(",",Test!A273,FIND(",",Test!A273,FIND(",",Test!A273)+1)+1)-FIND(",",Test!A273,FIND(",",Test!A273)+1)-1),"")))</f>
        <v/>
      </c>
      <c r="C273" t="str">
        <f>IF(ISNUMBER(FIND("Query",Test!A273)),RIGHT(Test!A273,LEN(Test!A273)-FIND(",",Test!A273,FIND(",",Test!A273,FIND(",",Test!A273,FIND(",",Test!A273)+1)+1)+1)),IF(Test!B273&lt;&gt;"",RIGHT(Test!B273,LEN(Test!B273)-FIND(",",Test!B273,FIND(",",Test!B273)+1)),IF(Test!A273&lt;&gt;"",MID(Test!A273,FIND(",",Test!A273,FIND(",",Test!A273,FIND(",",Test!A273)+1)+1)+1,LEN(Test!A273)-FIND(",",Test!A273,FIND(",",Test!A273,FIND(",",Test!A273)+1)+1)),""))) &amp; IF(Test!C273&lt;&gt;"", " " &amp; SUBSTITUTE(Test!C273,"-",""), "")</f>
        <v/>
      </c>
    </row>
    <row r="274" spans="1:3" x14ac:dyDescent="0.25">
      <c r="A274" t="str">
        <f>IF(Test!A274="", "", IF(ISNUMBER(FIND("Query",Test!A274)), "AS Query ZMMIMR91 , ZGRIR_ALV", IF(LEFT(Test!A274,1)="7", "AS " &amp; Test!A274, "AS " &amp; IF(Test!B274="",SUBSTITUTE(MID(Test!A274,FIND(",",Test!A274)+1,FIND(",",Test!A274,FIND(",",Test!A274)+1)-FIND(",",Test!A274)-1),"Cube ",""),LEFT(Test!B274,FIND(",",Test!B274)-1)))))</f>
        <v/>
      </c>
      <c r="B274" t="str">
        <f>IF(ISNUMBER(SEARCH("Query", Test!A274)), MID(Test!A274,FIND(",", Test!A274,FIND(",", Test!A274,FIND(",", Test!A274)+1)+1)+1, FIND(",", Test!A274,FIND(",", Test!A274,FIND(",", Test!A274,FIND(",", Test!A274)+1)+1)+1)-FIND(",", Test!A274,FIND(",", Test!A274,FIND(",", Test!A274)+1)+1)-1), IF(Test!B274&lt;&gt;"",MID(Test!B274,FIND(",",Test!B274)+1,FIND(",",Test!B274,FIND(",",Test!B274)+1)-FIND(",",Test!B274)-1),IF(Test!A274&lt;&gt;"",MID(Test!A274,FIND(",",Test!A274,FIND(",",Test!A274)+1)+1,FIND(",",Test!A274,FIND(",",Test!A274,FIND(",",Test!A274)+1)+1)-FIND(",",Test!A274,FIND(",",Test!A274)+1)-1),"")))</f>
        <v/>
      </c>
      <c r="C274" t="str">
        <f>IF(ISNUMBER(FIND("Query",Test!A274)),RIGHT(Test!A274,LEN(Test!A274)-FIND(",",Test!A274,FIND(",",Test!A274,FIND(",",Test!A274,FIND(",",Test!A274)+1)+1)+1)),IF(Test!B274&lt;&gt;"",RIGHT(Test!B274,LEN(Test!B274)-FIND(",",Test!B274,FIND(",",Test!B274)+1)),IF(Test!A274&lt;&gt;"",MID(Test!A274,FIND(",",Test!A274,FIND(",",Test!A274,FIND(",",Test!A274)+1)+1)+1,LEN(Test!A274)-FIND(",",Test!A274,FIND(",",Test!A274,FIND(",",Test!A274)+1)+1)),""))) &amp; IF(Test!C274&lt;&gt;"", " " &amp; SUBSTITUTE(Test!C274,"-",""), "")</f>
        <v/>
      </c>
    </row>
    <row r="275" spans="1:3" x14ac:dyDescent="0.25">
      <c r="A275" t="str">
        <f>IF(Test!A275="", "", IF(ISNUMBER(FIND("Query",Test!A275)), "AS Query ZMMIMR91 , ZGRIR_ALV", IF(LEFT(Test!A275,1)="7", "AS " &amp; Test!A275, "AS " &amp; IF(Test!B275="",SUBSTITUTE(MID(Test!A275,FIND(",",Test!A275)+1,FIND(",",Test!A275,FIND(",",Test!A275)+1)-FIND(",",Test!A275)-1),"Cube ",""),LEFT(Test!B275,FIND(",",Test!B275)-1)))))</f>
        <v/>
      </c>
      <c r="B275" t="str">
        <f>IF(ISNUMBER(SEARCH("Query", Test!A275)), MID(Test!A275,FIND(",", Test!A275,FIND(",", Test!A275,FIND(",", Test!A275)+1)+1)+1, FIND(",", Test!A275,FIND(",", Test!A275,FIND(",", Test!A275,FIND(",", Test!A275)+1)+1)+1)-FIND(",", Test!A275,FIND(",", Test!A275,FIND(",", Test!A275)+1)+1)-1), IF(Test!B275&lt;&gt;"",MID(Test!B275,FIND(",",Test!B275)+1,FIND(",",Test!B275,FIND(",",Test!B275)+1)-FIND(",",Test!B275)-1),IF(Test!A275&lt;&gt;"",MID(Test!A275,FIND(",",Test!A275,FIND(",",Test!A275)+1)+1,FIND(",",Test!A275,FIND(",",Test!A275,FIND(",",Test!A275)+1)+1)-FIND(",",Test!A275,FIND(",",Test!A275)+1)-1),"")))</f>
        <v/>
      </c>
      <c r="C275" t="str">
        <f>IF(ISNUMBER(FIND("Query",Test!A275)),RIGHT(Test!A275,LEN(Test!A275)-FIND(",",Test!A275,FIND(",",Test!A275,FIND(",",Test!A275,FIND(",",Test!A275)+1)+1)+1)),IF(Test!B275&lt;&gt;"",RIGHT(Test!B275,LEN(Test!B275)-FIND(",",Test!B275,FIND(",",Test!B275)+1)),IF(Test!A275&lt;&gt;"",MID(Test!A275,FIND(",",Test!A275,FIND(",",Test!A275,FIND(",",Test!A275)+1)+1)+1,LEN(Test!A275)-FIND(",",Test!A275,FIND(",",Test!A275,FIND(",",Test!A275)+1)+1)),""))) &amp; IF(Test!C275&lt;&gt;"", " " &amp; SUBSTITUTE(Test!C275,"-",""), "")</f>
        <v/>
      </c>
    </row>
    <row r="276" spans="1:3" x14ac:dyDescent="0.25">
      <c r="A276" t="str">
        <f>IF(Test!A276="", "", IF(ISNUMBER(FIND("Query",Test!A276)), "AS Query ZMMIMR91 , ZGRIR_ALV", IF(LEFT(Test!A276,1)="7", "AS " &amp; Test!A276, "AS " &amp; IF(Test!B276="",SUBSTITUTE(MID(Test!A276,FIND(",",Test!A276)+1,FIND(",",Test!A276,FIND(",",Test!A276)+1)-FIND(",",Test!A276)-1),"Cube ",""),LEFT(Test!B276,FIND(",",Test!B276)-1)))))</f>
        <v/>
      </c>
      <c r="B276" t="str">
        <f>IF(ISNUMBER(SEARCH("Query", Test!A276)), MID(Test!A276,FIND(",", Test!A276,FIND(",", Test!A276,FIND(",", Test!A276)+1)+1)+1, FIND(",", Test!A276,FIND(",", Test!A276,FIND(",", Test!A276,FIND(",", Test!A276)+1)+1)+1)-FIND(",", Test!A276,FIND(",", Test!A276,FIND(",", Test!A276)+1)+1)-1), IF(Test!B276&lt;&gt;"",MID(Test!B276,FIND(",",Test!B276)+1,FIND(",",Test!B276,FIND(",",Test!B276)+1)-FIND(",",Test!B276)-1),IF(Test!A276&lt;&gt;"",MID(Test!A276,FIND(",",Test!A276,FIND(",",Test!A276)+1)+1,FIND(",",Test!A276,FIND(",",Test!A276,FIND(",",Test!A276)+1)+1)-FIND(",",Test!A276,FIND(",",Test!A276)+1)-1),"")))</f>
        <v/>
      </c>
      <c r="C276" t="str">
        <f>IF(ISNUMBER(FIND("Query",Test!A276)),RIGHT(Test!A276,LEN(Test!A276)-FIND(",",Test!A276,FIND(",",Test!A276,FIND(",",Test!A276,FIND(",",Test!A276)+1)+1)+1)),IF(Test!B276&lt;&gt;"",RIGHT(Test!B276,LEN(Test!B276)-FIND(",",Test!B276,FIND(",",Test!B276)+1)),IF(Test!A276&lt;&gt;"",MID(Test!A276,FIND(",",Test!A276,FIND(",",Test!A276,FIND(",",Test!A276)+1)+1)+1,LEN(Test!A276)-FIND(",",Test!A276,FIND(",",Test!A276,FIND(",",Test!A276)+1)+1)),""))) &amp; IF(Test!C276&lt;&gt;"", " " &amp; SUBSTITUTE(Test!C276,"-",""), "")</f>
        <v/>
      </c>
    </row>
    <row r="277" spans="1:3" x14ac:dyDescent="0.25">
      <c r="A277" t="str">
        <f>IF(Test!A277="", "", IF(ISNUMBER(FIND("Query",Test!A277)), "AS Query ZMMIMR91 , ZGRIR_ALV", IF(LEFT(Test!A277,1)="7", "AS " &amp; Test!A277, "AS " &amp; IF(Test!B277="",SUBSTITUTE(MID(Test!A277,FIND(",",Test!A277)+1,FIND(",",Test!A277,FIND(",",Test!A277)+1)-FIND(",",Test!A277)-1),"Cube ",""),LEFT(Test!B277,FIND(",",Test!B277)-1)))))</f>
        <v/>
      </c>
      <c r="B277" t="str">
        <f>IF(ISNUMBER(SEARCH("Query", Test!A277)), MID(Test!A277,FIND(",", Test!A277,FIND(",", Test!A277,FIND(",", Test!A277)+1)+1)+1, FIND(",", Test!A277,FIND(",", Test!A277,FIND(",", Test!A277,FIND(",", Test!A277)+1)+1)+1)-FIND(",", Test!A277,FIND(",", Test!A277,FIND(",", Test!A277)+1)+1)-1), IF(Test!B277&lt;&gt;"",MID(Test!B277,FIND(",",Test!B277)+1,FIND(",",Test!B277,FIND(",",Test!B277)+1)-FIND(",",Test!B277)-1),IF(Test!A277&lt;&gt;"",MID(Test!A277,FIND(",",Test!A277,FIND(",",Test!A277)+1)+1,FIND(",",Test!A277,FIND(",",Test!A277,FIND(",",Test!A277)+1)+1)-FIND(",",Test!A277,FIND(",",Test!A277)+1)-1),"")))</f>
        <v/>
      </c>
      <c r="C277" t="str">
        <f>IF(ISNUMBER(FIND("Query",Test!A277)),RIGHT(Test!A277,LEN(Test!A277)-FIND(",",Test!A277,FIND(",",Test!A277,FIND(",",Test!A277,FIND(",",Test!A277)+1)+1)+1)),IF(Test!B277&lt;&gt;"",RIGHT(Test!B277,LEN(Test!B277)-FIND(",",Test!B277,FIND(",",Test!B277)+1)),IF(Test!A277&lt;&gt;"",MID(Test!A277,FIND(",",Test!A277,FIND(",",Test!A277,FIND(",",Test!A277)+1)+1)+1,LEN(Test!A277)-FIND(",",Test!A277,FIND(",",Test!A277,FIND(",",Test!A277)+1)+1)),""))) &amp; IF(Test!C277&lt;&gt;"", " " &amp; SUBSTITUTE(Test!C277,"-",""), "")</f>
        <v/>
      </c>
    </row>
    <row r="278" spans="1:3" x14ac:dyDescent="0.25">
      <c r="A278" t="str">
        <f>IF(Test!A278="", "", IF(ISNUMBER(FIND("Query",Test!A278)), "AS Query ZMMIMR91 , ZGRIR_ALV", IF(LEFT(Test!A278,1)="7", "AS " &amp; Test!A278, "AS " &amp; IF(Test!B278="",SUBSTITUTE(MID(Test!A278,FIND(",",Test!A278)+1,FIND(",",Test!A278,FIND(",",Test!A278)+1)-FIND(",",Test!A278)-1),"Cube ",""),LEFT(Test!B278,FIND(",",Test!B278)-1)))))</f>
        <v/>
      </c>
      <c r="B278" t="str">
        <f>IF(ISNUMBER(SEARCH("Query", Test!A278)), MID(Test!A278,FIND(",", Test!A278,FIND(",", Test!A278,FIND(",", Test!A278)+1)+1)+1, FIND(",", Test!A278,FIND(",", Test!A278,FIND(",", Test!A278,FIND(",", Test!A278)+1)+1)+1)-FIND(",", Test!A278,FIND(",", Test!A278,FIND(",", Test!A278)+1)+1)-1), IF(Test!B278&lt;&gt;"",MID(Test!B278,FIND(",",Test!B278)+1,FIND(",",Test!B278,FIND(",",Test!B278)+1)-FIND(",",Test!B278)-1),IF(Test!A278&lt;&gt;"",MID(Test!A278,FIND(",",Test!A278,FIND(",",Test!A278)+1)+1,FIND(",",Test!A278,FIND(",",Test!A278,FIND(",",Test!A278)+1)+1)-FIND(",",Test!A278,FIND(",",Test!A278)+1)-1),"")))</f>
        <v/>
      </c>
      <c r="C278" t="str">
        <f>IF(ISNUMBER(FIND("Query",Test!A278)),RIGHT(Test!A278,LEN(Test!A278)-FIND(",",Test!A278,FIND(",",Test!A278,FIND(",",Test!A278,FIND(",",Test!A278)+1)+1)+1)),IF(Test!B278&lt;&gt;"",RIGHT(Test!B278,LEN(Test!B278)-FIND(",",Test!B278,FIND(",",Test!B278)+1)),IF(Test!A278&lt;&gt;"",MID(Test!A278,FIND(",",Test!A278,FIND(",",Test!A278,FIND(",",Test!A278)+1)+1)+1,LEN(Test!A278)-FIND(",",Test!A278,FIND(",",Test!A278,FIND(",",Test!A278)+1)+1)),""))) &amp; IF(Test!C278&lt;&gt;"", " " &amp; SUBSTITUTE(Test!C278,"-",""), "")</f>
        <v/>
      </c>
    </row>
    <row r="279" spans="1:3" x14ac:dyDescent="0.25">
      <c r="A279" t="str">
        <f>IF(Test!A279="", "", IF(ISNUMBER(FIND("Query",Test!A279)), "AS Query ZMMIMR91 , ZGRIR_ALV", IF(LEFT(Test!A279,1)="7", "AS " &amp; Test!A279, "AS " &amp; IF(Test!B279="",SUBSTITUTE(MID(Test!A279,FIND(",",Test!A279)+1,FIND(",",Test!A279,FIND(",",Test!A279)+1)-FIND(",",Test!A279)-1),"Cube ",""),LEFT(Test!B279,FIND(",",Test!B279)-1)))))</f>
        <v/>
      </c>
      <c r="B279" t="str">
        <f>IF(ISNUMBER(SEARCH("Query", Test!A279)), MID(Test!A279,FIND(",", Test!A279,FIND(",", Test!A279,FIND(",", Test!A279)+1)+1)+1, FIND(",", Test!A279,FIND(",", Test!A279,FIND(",", Test!A279,FIND(",", Test!A279)+1)+1)+1)-FIND(",", Test!A279,FIND(",", Test!A279,FIND(",", Test!A279)+1)+1)-1), IF(Test!B279&lt;&gt;"",MID(Test!B279,FIND(",",Test!B279)+1,FIND(",",Test!B279,FIND(",",Test!B279)+1)-FIND(",",Test!B279)-1),IF(Test!A279&lt;&gt;"",MID(Test!A279,FIND(",",Test!A279,FIND(",",Test!A279)+1)+1,FIND(",",Test!A279,FIND(",",Test!A279,FIND(",",Test!A279)+1)+1)-FIND(",",Test!A279,FIND(",",Test!A279)+1)-1),"")))</f>
        <v/>
      </c>
      <c r="C279" t="str">
        <f>IF(ISNUMBER(FIND("Query",Test!A279)),RIGHT(Test!A279,LEN(Test!A279)-FIND(",",Test!A279,FIND(",",Test!A279,FIND(",",Test!A279,FIND(",",Test!A279)+1)+1)+1)),IF(Test!B279&lt;&gt;"",RIGHT(Test!B279,LEN(Test!B279)-FIND(",",Test!B279,FIND(",",Test!B279)+1)),IF(Test!A279&lt;&gt;"",MID(Test!A279,FIND(",",Test!A279,FIND(",",Test!A279,FIND(",",Test!A279)+1)+1)+1,LEN(Test!A279)-FIND(",",Test!A279,FIND(",",Test!A279,FIND(",",Test!A279)+1)+1)),""))) &amp; IF(Test!C279&lt;&gt;"", " " &amp; SUBSTITUTE(Test!C279,"-",""), "")</f>
        <v/>
      </c>
    </row>
    <row r="280" spans="1:3" x14ac:dyDescent="0.25">
      <c r="A280" t="str">
        <f>IF(Test!A280="", "", IF(ISNUMBER(FIND("Query",Test!A280)), "AS Query ZMMIMR91 , ZGRIR_ALV", IF(LEFT(Test!A280,1)="7", "AS " &amp; Test!A280, "AS " &amp; IF(Test!B280="",SUBSTITUTE(MID(Test!A280,FIND(",",Test!A280)+1,FIND(",",Test!A280,FIND(",",Test!A280)+1)-FIND(",",Test!A280)-1),"Cube ",""),LEFT(Test!B280,FIND(",",Test!B280)-1)))))</f>
        <v/>
      </c>
      <c r="B280" t="str">
        <f>IF(ISNUMBER(SEARCH("Query", Test!A280)), MID(Test!A280,FIND(",", Test!A280,FIND(",", Test!A280,FIND(",", Test!A280)+1)+1)+1, FIND(",", Test!A280,FIND(",", Test!A280,FIND(",", Test!A280,FIND(",", Test!A280)+1)+1)+1)-FIND(",", Test!A280,FIND(",", Test!A280,FIND(",", Test!A280)+1)+1)-1), IF(Test!B280&lt;&gt;"",MID(Test!B280,FIND(",",Test!B280)+1,FIND(",",Test!B280,FIND(",",Test!B280)+1)-FIND(",",Test!B280)-1),IF(Test!A280&lt;&gt;"",MID(Test!A280,FIND(",",Test!A280,FIND(",",Test!A280)+1)+1,FIND(",",Test!A280,FIND(",",Test!A280,FIND(",",Test!A280)+1)+1)-FIND(",",Test!A280,FIND(",",Test!A280)+1)-1),"")))</f>
        <v/>
      </c>
      <c r="C280" t="str">
        <f>IF(ISNUMBER(FIND("Query",Test!A280)),RIGHT(Test!A280,LEN(Test!A280)-FIND(",",Test!A280,FIND(",",Test!A280,FIND(",",Test!A280,FIND(",",Test!A280)+1)+1)+1)),IF(Test!B280&lt;&gt;"",RIGHT(Test!B280,LEN(Test!B280)-FIND(",",Test!B280,FIND(",",Test!B280)+1)),IF(Test!A280&lt;&gt;"",MID(Test!A280,FIND(",",Test!A280,FIND(",",Test!A280,FIND(",",Test!A280)+1)+1)+1,LEN(Test!A280)-FIND(",",Test!A280,FIND(",",Test!A280,FIND(",",Test!A280)+1)+1)),""))) &amp; IF(Test!C280&lt;&gt;"", " " &amp; SUBSTITUTE(Test!C280,"-",""), "")</f>
        <v/>
      </c>
    </row>
    <row r="281" spans="1:3" x14ac:dyDescent="0.25">
      <c r="A281" t="str">
        <f>IF(Test!A281="", "", IF(ISNUMBER(FIND("Query",Test!A281)), "AS Query ZMMIMR91 , ZGRIR_ALV", IF(LEFT(Test!A281,1)="7", "AS " &amp; Test!A281, "AS " &amp; IF(Test!B281="",SUBSTITUTE(MID(Test!A281,FIND(",",Test!A281)+1,FIND(",",Test!A281,FIND(",",Test!A281)+1)-FIND(",",Test!A281)-1),"Cube ",""),LEFT(Test!B281,FIND(",",Test!B281)-1)))))</f>
        <v/>
      </c>
      <c r="B281" t="str">
        <f>IF(ISNUMBER(SEARCH("Query", Test!A281)), MID(Test!A281,FIND(",", Test!A281,FIND(",", Test!A281,FIND(",", Test!A281)+1)+1)+1, FIND(",", Test!A281,FIND(",", Test!A281,FIND(",", Test!A281,FIND(",", Test!A281)+1)+1)+1)-FIND(",", Test!A281,FIND(",", Test!A281,FIND(",", Test!A281)+1)+1)-1), IF(Test!B281&lt;&gt;"",MID(Test!B281,FIND(",",Test!B281)+1,FIND(",",Test!B281,FIND(",",Test!B281)+1)-FIND(",",Test!B281)-1),IF(Test!A281&lt;&gt;"",MID(Test!A281,FIND(",",Test!A281,FIND(",",Test!A281)+1)+1,FIND(",",Test!A281,FIND(",",Test!A281,FIND(",",Test!A281)+1)+1)-FIND(",",Test!A281,FIND(",",Test!A281)+1)-1),"")))</f>
        <v/>
      </c>
      <c r="C281" t="str">
        <f>IF(ISNUMBER(FIND("Query",Test!A281)),RIGHT(Test!A281,LEN(Test!A281)-FIND(",",Test!A281,FIND(",",Test!A281,FIND(",",Test!A281,FIND(",",Test!A281)+1)+1)+1)),IF(Test!B281&lt;&gt;"",RIGHT(Test!B281,LEN(Test!B281)-FIND(",",Test!B281,FIND(",",Test!B281)+1)),IF(Test!A281&lt;&gt;"",MID(Test!A281,FIND(",",Test!A281,FIND(",",Test!A281,FIND(",",Test!A281)+1)+1)+1,LEN(Test!A281)-FIND(",",Test!A281,FIND(",",Test!A281,FIND(",",Test!A281)+1)+1)),""))) &amp; IF(Test!C281&lt;&gt;"", " " &amp; SUBSTITUTE(Test!C281,"-",""), "")</f>
        <v/>
      </c>
    </row>
    <row r="282" spans="1:3" x14ac:dyDescent="0.25">
      <c r="A282" t="str">
        <f>IF(Test!A282="", "", IF(ISNUMBER(FIND("Query",Test!A282)), "AS Query ZMMIMR91 , ZGRIR_ALV", IF(LEFT(Test!A282,1)="7", "AS " &amp; Test!A282, "AS " &amp; IF(Test!B282="",SUBSTITUTE(MID(Test!A282,FIND(",",Test!A282)+1,FIND(",",Test!A282,FIND(",",Test!A282)+1)-FIND(",",Test!A282)-1),"Cube ",""),LEFT(Test!B282,FIND(",",Test!B282)-1)))))</f>
        <v/>
      </c>
      <c r="B282" t="str">
        <f>IF(ISNUMBER(SEARCH("Query", Test!A282)), MID(Test!A282,FIND(",", Test!A282,FIND(",", Test!A282,FIND(",", Test!A282)+1)+1)+1, FIND(",", Test!A282,FIND(",", Test!A282,FIND(",", Test!A282,FIND(",", Test!A282)+1)+1)+1)-FIND(",", Test!A282,FIND(",", Test!A282,FIND(",", Test!A282)+1)+1)-1), IF(Test!B282&lt;&gt;"",MID(Test!B282,FIND(",",Test!B282)+1,FIND(",",Test!B282,FIND(",",Test!B282)+1)-FIND(",",Test!B282)-1),IF(Test!A282&lt;&gt;"",MID(Test!A282,FIND(",",Test!A282,FIND(",",Test!A282)+1)+1,FIND(",",Test!A282,FIND(",",Test!A282,FIND(",",Test!A282)+1)+1)-FIND(",",Test!A282,FIND(",",Test!A282)+1)-1),"")))</f>
        <v/>
      </c>
      <c r="C282" t="str">
        <f>IF(ISNUMBER(FIND("Query",Test!A282)),RIGHT(Test!A282,LEN(Test!A282)-FIND(",",Test!A282,FIND(",",Test!A282,FIND(",",Test!A282,FIND(",",Test!A282)+1)+1)+1)),IF(Test!B282&lt;&gt;"",RIGHT(Test!B282,LEN(Test!B282)-FIND(",",Test!B282,FIND(",",Test!B282)+1)),IF(Test!A282&lt;&gt;"",MID(Test!A282,FIND(",",Test!A282,FIND(",",Test!A282,FIND(",",Test!A282)+1)+1)+1,LEN(Test!A282)-FIND(",",Test!A282,FIND(",",Test!A282,FIND(",",Test!A282)+1)+1)),""))) &amp; IF(Test!C282&lt;&gt;"", " " &amp; SUBSTITUTE(Test!C282,"-",""), "")</f>
        <v/>
      </c>
    </row>
    <row r="283" spans="1:3" x14ac:dyDescent="0.25">
      <c r="A283" t="str">
        <f>IF(Test!A283="", "", IF(ISNUMBER(FIND("Query",Test!A283)), "AS Query ZMMIMR91 , ZGRIR_ALV", IF(LEFT(Test!A283,1)="7", "AS " &amp; Test!A283, "AS " &amp; IF(Test!B283="",SUBSTITUTE(MID(Test!A283,FIND(",",Test!A283)+1,FIND(",",Test!A283,FIND(",",Test!A283)+1)-FIND(",",Test!A283)-1),"Cube ",""),LEFT(Test!B283,FIND(",",Test!B283)-1)))))</f>
        <v/>
      </c>
      <c r="B283" t="str">
        <f>IF(ISNUMBER(SEARCH("Query", Test!A283)), MID(Test!A283,FIND(",", Test!A283,FIND(",", Test!A283,FIND(",", Test!A283)+1)+1)+1, FIND(",", Test!A283,FIND(",", Test!A283,FIND(",", Test!A283,FIND(",", Test!A283)+1)+1)+1)-FIND(",", Test!A283,FIND(",", Test!A283,FIND(",", Test!A283)+1)+1)-1), IF(Test!B283&lt;&gt;"",MID(Test!B283,FIND(",",Test!B283)+1,FIND(",",Test!B283,FIND(",",Test!B283)+1)-FIND(",",Test!B283)-1),IF(Test!A283&lt;&gt;"",MID(Test!A283,FIND(",",Test!A283,FIND(",",Test!A283)+1)+1,FIND(",",Test!A283,FIND(",",Test!A283,FIND(",",Test!A283)+1)+1)-FIND(",",Test!A283,FIND(",",Test!A283)+1)-1),"")))</f>
        <v/>
      </c>
      <c r="C283" t="str">
        <f>IF(ISNUMBER(FIND("Query",Test!A283)),RIGHT(Test!A283,LEN(Test!A283)-FIND(",",Test!A283,FIND(",",Test!A283,FIND(",",Test!A283,FIND(",",Test!A283)+1)+1)+1)),IF(Test!B283&lt;&gt;"",RIGHT(Test!B283,LEN(Test!B283)-FIND(",",Test!B283,FIND(",",Test!B283)+1)),IF(Test!A283&lt;&gt;"",MID(Test!A283,FIND(",",Test!A283,FIND(",",Test!A283,FIND(",",Test!A283)+1)+1)+1,LEN(Test!A283)-FIND(",",Test!A283,FIND(",",Test!A283,FIND(",",Test!A283)+1)+1)),""))) &amp; IF(Test!C283&lt;&gt;"", " " &amp; SUBSTITUTE(Test!C283,"-",""), "")</f>
        <v/>
      </c>
    </row>
    <row r="284" spans="1:3" x14ac:dyDescent="0.25">
      <c r="A284" t="str">
        <f>IF(Test!A284="", "", IF(ISNUMBER(FIND("Query",Test!A284)), "AS Query ZMMIMR91 , ZGRIR_ALV", IF(LEFT(Test!A284,1)="7", "AS " &amp; Test!A284, "AS " &amp; IF(Test!B284="",SUBSTITUTE(MID(Test!A284,FIND(",",Test!A284)+1,FIND(",",Test!A284,FIND(",",Test!A284)+1)-FIND(",",Test!A284)-1),"Cube ",""),LEFT(Test!B284,FIND(",",Test!B284)-1)))))</f>
        <v/>
      </c>
      <c r="B284" t="str">
        <f>IF(ISNUMBER(SEARCH("Query", Test!A284)), MID(Test!A284,FIND(",", Test!A284,FIND(",", Test!A284,FIND(",", Test!A284)+1)+1)+1, FIND(",", Test!A284,FIND(",", Test!A284,FIND(",", Test!A284,FIND(",", Test!A284)+1)+1)+1)-FIND(",", Test!A284,FIND(",", Test!A284,FIND(",", Test!A284)+1)+1)-1), IF(Test!B284&lt;&gt;"",MID(Test!B284,FIND(",",Test!B284)+1,FIND(",",Test!B284,FIND(",",Test!B284)+1)-FIND(",",Test!B284)-1),IF(Test!A284&lt;&gt;"",MID(Test!A284,FIND(",",Test!A284,FIND(",",Test!A284)+1)+1,FIND(",",Test!A284,FIND(",",Test!A284,FIND(",",Test!A284)+1)+1)-FIND(",",Test!A284,FIND(",",Test!A284)+1)-1),"")))</f>
        <v/>
      </c>
      <c r="C284" t="str">
        <f>IF(ISNUMBER(FIND("Query",Test!A284)),RIGHT(Test!A284,LEN(Test!A284)-FIND(",",Test!A284,FIND(",",Test!A284,FIND(",",Test!A284,FIND(",",Test!A284)+1)+1)+1)),IF(Test!B284&lt;&gt;"",RIGHT(Test!B284,LEN(Test!B284)-FIND(",",Test!B284,FIND(",",Test!B284)+1)),IF(Test!A284&lt;&gt;"",MID(Test!A284,FIND(",",Test!A284,FIND(",",Test!A284,FIND(",",Test!A284)+1)+1)+1,LEN(Test!A284)-FIND(",",Test!A284,FIND(",",Test!A284,FIND(",",Test!A284)+1)+1)),""))) &amp; IF(Test!C284&lt;&gt;"", " " &amp; SUBSTITUTE(Test!C284,"-",""), "")</f>
        <v/>
      </c>
    </row>
    <row r="285" spans="1:3" x14ac:dyDescent="0.25">
      <c r="A285" t="str">
        <f>IF(Test!A285="", "", IF(ISNUMBER(FIND("Query",Test!A285)), "AS Query ZMMIMR91 , ZGRIR_ALV", IF(LEFT(Test!A285,1)="7", "AS " &amp; Test!A285, "AS " &amp; IF(Test!B285="",SUBSTITUTE(MID(Test!A285,FIND(",",Test!A285)+1,FIND(",",Test!A285,FIND(",",Test!A285)+1)-FIND(",",Test!A285)-1),"Cube ",""),LEFT(Test!B285,FIND(",",Test!B285)-1)))))</f>
        <v/>
      </c>
      <c r="B285" t="str">
        <f>IF(ISNUMBER(SEARCH("Query", Test!A285)), MID(Test!A285,FIND(",", Test!A285,FIND(",", Test!A285,FIND(",", Test!A285)+1)+1)+1, FIND(",", Test!A285,FIND(",", Test!A285,FIND(",", Test!A285,FIND(",", Test!A285)+1)+1)+1)-FIND(",", Test!A285,FIND(",", Test!A285,FIND(",", Test!A285)+1)+1)-1), IF(Test!B285&lt;&gt;"",MID(Test!B285,FIND(",",Test!B285)+1,FIND(",",Test!B285,FIND(",",Test!B285)+1)-FIND(",",Test!B285)-1),IF(Test!A285&lt;&gt;"",MID(Test!A285,FIND(",",Test!A285,FIND(",",Test!A285)+1)+1,FIND(",",Test!A285,FIND(",",Test!A285,FIND(",",Test!A285)+1)+1)-FIND(",",Test!A285,FIND(",",Test!A285)+1)-1),"")))</f>
        <v/>
      </c>
      <c r="C285" t="str">
        <f>IF(ISNUMBER(FIND("Query",Test!A285)),RIGHT(Test!A285,LEN(Test!A285)-FIND(",",Test!A285,FIND(",",Test!A285,FIND(",",Test!A285,FIND(",",Test!A285)+1)+1)+1)),IF(Test!B285&lt;&gt;"",RIGHT(Test!B285,LEN(Test!B285)-FIND(",",Test!B285,FIND(",",Test!B285)+1)),IF(Test!A285&lt;&gt;"",MID(Test!A285,FIND(",",Test!A285,FIND(",",Test!A285,FIND(",",Test!A285)+1)+1)+1,LEN(Test!A285)-FIND(",",Test!A285,FIND(",",Test!A285,FIND(",",Test!A285)+1)+1)),""))) &amp; IF(Test!C285&lt;&gt;"", " " &amp; SUBSTITUTE(Test!C285,"-",""), "")</f>
        <v/>
      </c>
    </row>
    <row r="286" spans="1:3" x14ac:dyDescent="0.25">
      <c r="A286" t="str">
        <f>IF(Test!A286="", "", IF(ISNUMBER(FIND("Query",Test!A286)), "AS Query ZMMIMR91 , ZGRIR_ALV", IF(LEFT(Test!A286,1)="7", "AS " &amp; Test!A286, "AS " &amp; IF(Test!B286="",SUBSTITUTE(MID(Test!A286,FIND(",",Test!A286)+1,FIND(",",Test!A286,FIND(",",Test!A286)+1)-FIND(",",Test!A286)-1),"Cube ",""),LEFT(Test!B286,FIND(",",Test!B286)-1)))))</f>
        <v/>
      </c>
      <c r="B286" t="str">
        <f>IF(ISNUMBER(SEARCH("Query", Test!A286)), MID(Test!A286,FIND(",", Test!A286,FIND(",", Test!A286,FIND(",", Test!A286)+1)+1)+1, FIND(",", Test!A286,FIND(",", Test!A286,FIND(",", Test!A286,FIND(",", Test!A286)+1)+1)+1)-FIND(",", Test!A286,FIND(",", Test!A286,FIND(",", Test!A286)+1)+1)-1), IF(Test!B286&lt;&gt;"",MID(Test!B286,FIND(",",Test!B286)+1,FIND(",",Test!B286,FIND(",",Test!B286)+1)-FIND(",",Test!B286)-1),IF(Test!A286&lt;&gt;"",MID(Test!A286,FIND(",",Test!A286,FIND(",",Test!A286)+1)+1,FIND(",",Test!A286,FIND(",",Test!A286,FIND(",",Test!A286)+1)+1)-FIND(",",Test!A286,FIND(",",Test!A286)+1)-1),"")))</f>
        <v/>
      </c>
      <c r="C286" t="str">
        <f>IF(ISNUMBER(FIND("Query",Test!A286)),RIGHT(Test!A286,LEN(Test!A286)-FIND(",",Test!A286,FIND(",",Test!A286,FIND(",",Test!A286,FIND(",",Test!A286)+1)+1)+1)),IF(Test!B286&lt;&gt;"",RIGHT(Test!B286,LEN(Test!B286)-FIND(",",Test!B286,FIND(",",Test!B286)+1)),IF(Test!A286&lt;&gt;"",MID(Test!A286,FIND(",",Test!A286,FIND(",",Test!A286,FIND(",",Test!A286)+1)+1)+1,LEN(Test!A286)-FIND(",",Test!A286,FIND(",",Test!A286,FIND(",",Test!A286)+1)+1)),""))) &amp; IF(Test!C286&lt;&gt;"", " " &amp; SUBSTITUTE(Test!C286,"-",""), "")</f>
        <v/>
      </c>
    </row>
    <row r="287" spans="1:3" x14ac:dyDescent="0.25">
      <c r="A287" t="str">
        <f>IF(Test!A287="", "", IF(ISNUMBER(FIND("Query",Test!A287)), "AS Query ZMMIMR91 , ZGRIR_ALV", IF(LEFT(Test!A287,1)="7", "AS " &amp; Test!A287, "AS " &amp; IF(Test!B287="",SUBSTITUTE(MID(Test!A287,FIND(",",Test!A287)+1,FIND(",",Test!A287,FIND(",",Test!A287)+1)-FIND(",",Test!A287)-1),"Cube ",""),LEFT(Test!B287,FIND(",",Test!B287)-1)))))</f>
        <v/>
      </c>
      <c r="B287" t="str">
        <f>IF(ISNUMBER(SEARCH("Query", Test!A287)), MID(Test!A287,FIND(",", Test!A287,FIND(",", Test!A287,FIND(",", Test!A287)+1)+1)+1, FIND(",", Test!A287,FIND(",", Test!A287,FIND(",", Test!A287,FIND(",", Test!A287)+1)+1)+1)-FIND(",", Test!A287,FIND(",", Test!A287,FIND(",", Test!A287)+1)+1)-1), IF(Test!B287&lt;&gt;"",MID(Test!B287,FIND(",",Test!B287)+1,FIND(",",Test!B287,FIND(",",Test!B287)+1)-FIND(",",Test!B287)-1),IF(Test!A287&lt;&gt;"",MID(Test!A287,FIND(",",Test!A287,FIND(",",Test!A287)+1)+1,FIND(",",Test!A287,FIND(",",Test!A287,FIND(",",Test!A287)+1)+1)-FIND(",",Test!A287,FIND(",",Test!A287)+1)-1),"")))</f>
        <v/>
      </c>
      <c r="C287" t="str">
        <f>IF(ISNUMBER(FIND("Query",Test!A287)),RIGHT(Test!A287,LEN(Test!A287)-FIND(",",Test!A287,FIND(",",Test!A287,FIND(",",Test!A287,FIND(",",Test!A287)+1)+1)+1)),IF(Test!B287&lt;&gt;"",RIGHT(Test!B287,LEN(Test!B287)-FIND(",",Test!B287,FIND(",",Test!B287)+1)),IF(Test!A287&lt;&gt;"",MID(Test!A287,FIND(",",Test!A287,FIND(",",Test!A287,FIND(",",Test!A287)+1)+1)+1,LEN(Test!A287)-FIND(",",Test!A287,FIND(",",Test!A287,FIND(",",Test!A287)+1)+1)),""))) &amp; IF(Test!C287&lt;&gt;"", " " &amp; SUBSTITUTE(Test!C287,"-",""), "")</f>
        <v/>
      </c>
    </row>
    <row r="288" spans="1:3" x14ac:dyDescent="0.25">
      <c r="A288" t="str">
        <f>IF(Test!A288="", "", IF(ISNUMBER(FIND("Query",Test!A288)), "AS Query ZMMIMR91 , ZGRIR_ALV", IF(LEFT(Test!A288,1)="7", "AS " &amp; Test!A288, "AS " &amp; IF(Test!B288="",SUBSTITUTE(MID(Test!A288,FIND(",",Test!A288)+1,FIND(",",Test!A288,FIND(",",Test!A288)+1)-FIND(",",Test!A288)-1),"Cube ",""),LEFT(Test!B288,FIND(",",Test!B288)-1)))))</f>
        <v/>
      </c>
      <c r="B288" t="str">
        <f>IF(ISNUMBER(SEARCH("Query", Test!A288)), MID(Test!A288,FIND(",", Test!A288,FIND(",", Test!A288,FIND(",", Test!A288)+1)+1)+1, FIND(",", Test!A288,FIND(",", Test!A288,FIND(",", Test!A288,FIND(",", Test!A288)+1)+1)+1)-FIND(",", Test!A288,FIND(",", Test!A288,FIND(",", Test!A288)+1)+1)-1), IF(Test!B288&lt;&gt;"",MID(Test!B288,FIND(",",Test!B288)+1,FIND(",",Test!B288,FIND(",",Test!B288)+1)-FIND(",",Test!B288)-1),IF(Test!A288&lt;&gt;"",MID(Test!A288,FIND(",",Test!A288,FIND(",",Test!A288)+1)+1,FIND(",",Test!A288,FIND(",",Test!A288,FIND(",",Test!A288)+1)+1)-FIND(",",Test!A288,FIND(",",Test!A288)+1)-1),"")))</f>
        <v/>
      </c>
      <c r="C288" t="str">
        <f>IF(ISNUMBER(FIND("Query",Test!A288)),RIGHT(Test!A288,LEN(Test!A288)-FIND(",",Test!A288,FIND(",",Test!A288,FIND(",",Test!A288,FIND(",",Test!A288)+1)+1)+1)),IF(Test!B288&lt;&gt;"",RIGHT(Test!B288,LEN(Test!B288)-FIND(",",Test!B288,FIND(",",Test!B288)+1)),IF(Test!A288&lt;&gt;"",MID(Test!A288,FIND(",",Test!A288,FIND(",",Test!A288,FIND(",",Test!A288)+1)+1)+1,LEN(Test!A288)-FIND(",",Test!A288,FIND(",",Test!A288,FIND(",",Test!A288)+1)+1)),""))) &amp; IF(Test!C288&lt;&gt;"", " " &amp; SUBSTITUTE(Test!C288,"-",""), "")</f>
        <v/>
      </c>
    </row>
    <row r="289" spans="1:3" x14ac:dyDescent="0.25">
      <c r="A289" t="str">
        <f>IF(Test!A289="", "", IF(ISNUMBER(FIND("Query",Test!A289)), "AS Query ZMMIMR91 , ZGRIR_ALV", IF(LEFT(Test!A289,1)="7", "AS " &amp; Test!A289, "AS " &amp; IF(Test!B289="",SUBSTITUTE(MID(Test!A289,FIND(",",Test!A289)+1,FIND(",",Test!A289,FIND(",",Test!A289)+1)-FIND(",",Test!A289)-1),"Cube ",""),LEFT(Test!B289,FIND(",",Test!B289)-1)))))</f>
        <v/>
      </c>
      <c r="B289" t="str">
        <f>IF(ISNUMBER(SEARCH("Query", Test!A289)), MID(Test!A289,FIND(",", Test!A289,FIND(",", Test!A289,FIND(",", Test!A289)+1)+1)+1, FIND(",", Test!A289,FIND(",", Test!A289,FIND(",", Test!A289,FIND(",", Test!A289)+1)+1)+1)-FIND(",", Test!A289,FIND(",", Test!A289,FIND(",", Test!A289)+1)+1)-1), IF(Test!B289&lt;&gt;"",MID(Test!B289,FIND(",",Test!B289)+1,FIND(",",Test!B289,FIND(",",Test!B289)+1)-FIND(",",Test!B289)-1),IF(Test!A289&lt;&gt;"",MID(Test!A289,FIND(",",Test!A289,FIND(",",Test!A289)+1)+1,FIND(",",Test!A289,FIND(",",Test!A289,FIND(",",Test!A289)+1)+1)-FIND(",",Test!A289,FIND(",",Test!A289)+1)-1),"")))</f>
        <v/>
      </c>
      <c r="C289" t="str">
        <f>IF(ISNUMBER(FIND("Query",Test!A289)),RIGHT(Test!A289,LEN(Test!A289)-FIND(",",Test!A289,FIND(",",Test!A289,FIND(",",Test!A289,FIND(",",Test!A289)+1)+1)+1)),IF(Test!B289&lt;&gt;"",RIGHT(Test!B289,LEN(Test!B289)-FIND(",",Test!B289,FIND(",",Test!B289)+1)),IF(Test!A289&lt;&gt;"",MID(Test!A289,FIND(",",Test!A289,FIND(",",Test!A289,FIND(",",Test!A289)+1)+1)+1,LEN(Test!A289)-FIND(",",Test!A289,FIND(",",Test!A289,FIND(",",Test!A289)+1)+1)),""))) &amp; IF(Test!C289&lt;&gt;"", " " &amp; SUBSTITUTE(Test!C289,"-",""), "")</f>
        <v/>
      </c>
    </row>
    <row r="290" spans="1:3" x14ac:dyDescent="0.25">
      <c r="A290" t="str">
        <f>IF(Test!A290="", "", IF(ISNUMBER(FIND("Query",Test!A290)), "AS Query ZMMIMR91 , ZGRIR_ALV", IF(LEFT(Test!A290,1)="7", "AS " &amp; Test!A290, "AS " &amp; IF(Test!B290="",SUBSTITUTE(MID(Test!A290,FIND(",",Test!A290)+1,FIND(",",Test!A290,FIND(",",Test!A290)+1)-FIND(",",Test!A290)-1),"Cube ",""),LEFT(Test!B290,FIND(",",Test!B290)-1)))))</f>
        <v/>
      </c>
      <c r="B290" t="str">
        <f>IF(ISNUMBER(SEARCH("Query", Test!A290)), MID(Test!A290,FIND(",", Test!A290,FIND(",", Test!A290,FIND(",", Test!A290)+1)+1)+1, FIND(",", Test!A290,FIND(",", Test!A290,FIND(",", Test!A290,FIND(",", Test!A290)+1)+1)+1)-FIND(",", Test!A290,FIND(",", Test!A290,FIND(",", Test!A290)+1)+1)-1), IF(Test!B290&lt;&gt;"",MID(Test!B290,FIND(",",Test!B290)+1,FIND(",",Test!B290,FIND(",",Test!B290)+1)-FIND(",",Test!B290)-1),IF(Test!A290&lt;&gt;"",MID(Test!A290,FIND(",",Test!A290,FIND(",",Test!A290)+1)+1,FIND(",",Test!A290,FIND(",",Test!A290,FIND(",",Test!A290)+1)+1)-FIND(",",Test!A290,FIND(",",Test!A290)+1)-1),"")))</f>
        <v/>
      </c>
      <c r="C290" t="str">
        <f>IF(ISNUMBER(FIND("Query",Test!A290)),RIGHT(Test!A290,LEN(Test!A290)-FIND(",",Test!A290,FIND(",",Test!A290,FIND(",",Test!A290,FIND(",",Test!A290)+1)+1)+1)),IF(Test!B290&lt;&gt;"",RIGHT(Test!B290,LEN(Test!B290)-FIND(",",Test!B290,FIND(",",Test!B290)+1)),IF(Test!A290&lt;&gt;"",MID(Test!A290,FIND(",",Test!A290,FIND(",",Test!A290,FIND(",",Test!A290)+1)+1)+1,LEN(Test!A290)-FIND(",",Test!A290,FIND(",",Test!A290,FIND(",",Test!A290)+1)+1)),""))) &amp; IF(Test!C290&lt;&gt;"", " " &amp; SUBSTITUTE(Test!C290,"-",""), "")</f>
        <v/>
      </c>
    </row>
    <row r="291" spans="1:3" x14ac:dyDescent="0.25">
      <c r="A291" t="str">
        <f>IF(Test!A291="", "", IF(ISNUMBER(FIND("Query",Test!A291)), "AS Query ZMMIMR91 , ZGRIR_ALV", IF(LEFT(Test!A291,1)="7", "AS " &amp; Test!A291, "AS " &amp; IF(Test!B291="",SUBSTITUTE(MID(Test!A291,FIND(",",Test!A291)+1,FIND(",",Test!A291,FIND(",",Test!A291)+1)-FIND(",",Test!A291)-1),"Cube ",""),LEFT(Test!B291,FIND(",",Test!B291)-1)))))</f>
        <v/>
      </c>
      <c r="B291" t="str">
        <f>IF(ISNUMBER(SEARCH("Query", Test!A291)), MID(Test!A291,FIND(",", Test!A291,FIND(",", Test!A291,FIND(",", Test!A291)+1)+1)+1, FIND(",", Test!A291,FIND(",", Test!A291,FIND(",", Test!A291,FIND(",", Test!A291)+1)+1)+1)-FIND(",", Test!A291,FIND(",", Test!A291,FIND(",", Test!A291)+1)+1)-1), IF(Test!B291&lt;&gt;"",MID(Test!B291,FIND(",",Test!B291)+1,FIND(",",Test!B291,FIND(",",Test!B291)+1)-FIND(",",Test!B291)-1),IF(Test!A291&lt;&gt;"",MID(Test!A291,FIND(",",Test!A291,FIND(",",Test!A291)+1)+1,FIND(",",Test!A291,FIND(",",Test!A291,FIND(",",Test!A291)+1)+1)-FIND(",",Test!A291,FIND(",",Test!A291)+1)-1),"")))</f>
        <v/>
      </c>
      <c r="C291" t="str">
        <f>IF(ISNUMBER(FIND("Query",Test!A291)),RIGHT(Test!A291,LEN(Test!A291)-FIND(",",Test!A291,FIND(",",Test!A291,FIND(",",Test!A291,FIND(",",Test!A291)+1)+1)+1)),IF(Test!B291&lt;&gt;"",RIGHT(Test!B291,LEN(Test!B291)-FIND(",",Test!B291,FIND(",",Test!B291)+1)),IF(Test!A291&lt;&gt;"",MID(Test!A291,FIND(",",Test!A291,FIND(",",Test!A291,FIND(",",Test!A291)+1)+1)+1,LEN(Test!A291)-FIND(",",Test!A291,FIND(",",Test!A291,FIND(",",Test!A291)+1)+1)),""))) &amp; IF(Test!C291&lt;&gt;"", " " &amp; SUBSTITUTE(Test!C291,"-",""), "")</f>
        <v/>
      </c>
    </row>
    <row r="292" spans="1:3" x14ac:dyDescent="0.25">
      <c r="A292" t="str">
        <f>IF(Test!A292="", "", IF(ISNUMBER(FIND("Query",Test!A292)), "AS Query ZMMIMR91 , ZGRIR_ALV", IF(LEFT(Test!A292,1)="7", "AS " &amp; Test!A292, "AS " &amp; IF(Test!B292="",SUBSTITUTE(MID(Test!A292,FIND(",",Test!A292)+1,FIND(",",Test!A292,FIND(",",Test!A292)+1)-FIND(",",Test!A292)-1),"Cube ",""),LEFT(Test!B292,FIND(",",Test!B292)-1)))))</f>
        <v/>
      </c>
      <c r="B292" t="str">
        <f>IF(ISNUMBER(SEARCH("Query", Test!A292)), MID(Test!A292,FIND(",", Test!A292,FIND(",", Test!A292,FIND(",", Test!A292)+1)+1)+1, FIND(",", Test!A292,FIND(",", Test!A292,FIND(",", Test!A292,FIND(",", Test!A292)+1)+1)+1)-FIND(",", Test!A292,FIND(",", Test!A292,FIND(",", Test!A292)+1)+1)-1), IF(Test!B292&lt;&gt;"",MID(Test!B292,FIND(",",Test!B292)+1,FIND(",",Test!B292,FIND(",",Test!B292)+1)-FIND(",",Test!B292)-1),IF(Test!A292&lt;&gt;"",MID(Test!A292,FIND(",",Test!A292,FIND(",",Test!A292)+1)+1,FIND(",",Test!A292,FIND(",",Test!A292,FIND(",",Test!A292)+1)+1)-FIND(",",Test!A292,FIND(",",Test!A292)+1)-1),"")))</f>
        <v/>
      </c>
      <c r="C292" t="str">
        <f>IF(ISNUMBER(FIND("Query",Test!A292)),RIGHT(Test!A292,LEN(Test!A292)-FIND(",",Test!A292,FIND(",",Test!A292,FIND(",",Test!A292,FIND(",",Test!A292)+1)+1)+1)),IF(Test!B292&lt;&gt;"",RIGHT(Test!B292,LEN(Test!B292)-FIND(",",Test!B292,FIND(",",Test!B292)+1)),IF(Test!A292&lt;&gt;"",MID(Test!A292,FIND(",",Test!A292,FIND(",",Test!A292,FIND(",",Test!A292)+1)+1)+1,LEN(Test!A292)-FIND(",",Test!A292,FIND(",",Test!A292,FIND(",",Test!A292)+1)+1)),""))) &amp; IF(Test!C292&lt;&gt;"", " " &amp; SUBSTITUTE(Test!C292,"-",""), "")</f>
        <v/>
      </c>
    </row>
    <row r="293" spans="1:3" x14ac:dyDescent="0.25">
      <c r="A293" t="str">
        <f>IF(Test!A293="", "", IF(ISNUMBER(FIND("Query",Test!A293)), "AS Query ZMMIMR91 , ZGRIR_ALV", IF(LEFT(Test!A293,1)="7", "AS " &amp; Test!A293, "AS " &amp; IF(Test!B293="",SUBSTITUTE(MID(Test!A293,FIND(",",Test!A293)+1,FIND(",",Test!A293,FIND(",",Test!A293)+1)-FIND(",",Test!A293)-1),"Cube ",""),LEFT(Test!B293,FIND(",",Test!B293)-1)))))</f>
        <v/>
      </c>
      <c r="B293" t="str">
        <f>IF(ISNUMBER(SEARCH("Query", Test!A293)), MID(Test!A293,FIND(",", Test!A293,FIND(",", Test!A293,FIND(",", Test!A293)+1)+1)+1, FIND(",", Test!A293,FIND(",", Test!A293,FIND(",", Test!A293,FIND(",", Test!A293)+1)+1)+1)-FIND(",", Test!A293,FIND(",", Test!A293,FIND(",", Test!A293)+1)+1)-1), IF(Test!B293&lt;&gt;"",MID(Test!B293,FIND(",",Test!B293)+1,FIND(",",Test!B293,FIND(",",Test!B293)+1)-FIND(",",Test!B293)-1),IF(Test!A293&lt;&gt;"",MID(Test!A293,FIND(",",Test!A293,FIND(",",Test!A293)+1)+1,FIND(",",Test!A293,FIND(",",Test!A293,FIND(",",Test!A293)+1)+1)-FIND(",",Test!A293,FIND(",",Test!A293)+1)-1),"")))</f>
        <v/>
      </c>
      <c r="C293" t="str">
        <f>IF(ISNUMBER(FIND("Query",Test!A293)),RIGHT(Test!A293,LEN(Test!A293)-FIND(",",Test!A293,FIND(",",Test!A293,FIND(",",Test!A293,FIND(",",Test!A293)+1)+1)+1)),IF(Test!B293&lt;&gt;"",RIGHT(Test!B293,LEN(Test!B293)-FIND(",",Test!B293,FIND(",",Test!B293)+1)),IF(Test!A293&lt;&gt;"",MID(Test!A293,FIND(",",Test!A293,FIND(",",Test!A293,FIND(",",Test!A293)+1)+1)+1,LEN(Test!A293)-FIND(",",Test!A293,FIND(",",Test!A293,FIND(",",Test!A293)+1)+1)),""))) &amp; IF(Test!C293&lt;&gt;"", " " &amp; SUBSTITUTE(Test!C293,"-",""), "")</f>
        <v/>
      </c>
    </row>
    <row r="294" spans="1:3" x14ac:dyDescent="0.25">
      <c r="A294" t="str">
        <f>IF(Test!A294="", "", IF(ISNUMBER(FIND("Query",Test!A294)), "AS Query ZMMIMR91 , ZGRIR_ALV", IF(LEFT(Test!A294,1)="7", "AS " &amp; Test!A294, "AS " &amp; IF(Test!B294="",SUBSTITUTE(MID(Test!A294,FIND(",",Test!A294)+1,FIND(",",Test!A294,FIND(",",Test!A294)+1)-FIND(",",Test!A294)-1),"Cube ",""),LEFT(Test!B294,FIND(",",Test!B294)-1)))))</f>
        <v/>
      </c>
      <c r="B294" t="str">
        <f>IF(ISNUMBER(SEARCH("Query", Test!A294)), MID(Test!A294,FIND(",", Test!A294,FIND(",", Test!A294,FIND(",", Test!A294)+1)+1)+1, FIND(",", Test!A294,FIND(",", Test!A294,FIND(",", Test!A294,FIND(",", Test!A294)+1)+1)+1)-FIND(",", Test!A294,FIND(",", Test!A294,FIND(",", Test!A294)+1)+1)-1), IF(Test!B294&lt;&gt;"",MID(Test!B294,FIND(",",Test!B294)+1,FIND(",",Test!B294,FIND(",",Test!B294)+1)-FIND(",",Test!B294)-1),IF(Test!A294&lt;&gt;"",MID(Test!A294,FIND(",",Test!A294,FIND(",",Test!A294)+1)+1,FIND(",",Test!A294,FIND(",",Test!A294,FIND(",",Test!A294)+1)+1)-FIND(",",Test!A294,FIND(",",Test!A294)+1)-1),"")))</f>
        <v/>
      </c>
      <c r="C294" t="str">
        <f>IF(ISNUMBER(FIND("Query",Test!A294)),RIGHT(Test!A294,LEN(Test!A294)-FIND(",",Test!A294,FIND(",",Test!A294,FIND(",",Test!A294,FIND(",",Test!A294)+1)+1)+1)),IF(Test!B294&lt;&gt;"",RIGHT(Test!B294,LEN(Test!B294)-FIND(",",Test!B294,FIND(",",Test!B294)+1)),IF(Test!A294&lt;&gt;"",MID(Test!A294,FIND(",",Test!A294,FIND(",",Test!A294,FIND(",",Test!A294)+1)+1)+1,LEN(Test!A294)-FIND(",",Test!A294,FIND(",",Test!A294,FIND(",",Test!A294)+1)+1)),""))) &amp; IF(Test!C294&lt;&gt;"", " " &amp; SUBSTITUTE(Test!C294,"-",""), "")</f>
        <v/>
      </c>
    </row>
    <row r="295" spans="1:3" x14ac:dyDescent="0.25">
      <c r="A295" t="str">
        <f>IF(Test!A295="", "", IF(ISNUMBER(FIND("Query",Test!A295)), "AS Query ZMMIMR91 , ZGRIR_ALV", IF(LEFT(Test!A295,1)="7", "AS " &amp; Test!A295, "AS " &amp; IF(Test!B295="",SUBSTITUTE(MID(Test!A295,FIND(",",Test!A295)+1,FIND(",",Test!A295,FIND(",",Test!A295)+1)-FIND(",",Test!A295)-1),"Cube ",""),LEFT(Test!B295,FIND(",",Test!B295)-1)))))</f>
        <v/>
      </c>
      <c r="B295" t="str">
        <f>IF(ISNUMBER(SEARCH("Query", Test!A295)), MID(Test!A295,FIND(",", Test!A295,FIND(",", Test!A295,FIND(",", Test!A295)+1)+1)+1, FIND(",", Test!A295,FIND(",", Test!A295,FIND(",", Test!A295,FIND(",", Test!A295)+1)+1)+1)-FIND(",", Test!A295,FIND(",", Test!A295,FIND(",", Test!A295)+1)+1)-1), IF(Test!B295&lt;&gt;"",MID(Test!B295,FIND(",",Test!B295)+1,FIND(",",Test!B295,FIND(",",Test!B295)+1)-FIND(",",Test!B295)-1),IF(Test!A295&lt;&gt;"",MID(Test!A295,FIND(",",Test!A295,FIND(",",Test!A295)+1)+1,FIND(",",Test!A295,FIND(",",Test!A295,FIND(",",Test!A295)+1)+1)-FIND(",",Test!A295,FIND(",",Test!A295)+1)-1),"")))</f>
        <v/>
      </c>
      <c r="C295" t="str">
        <f>IF(ISNUMBER(FIND("Query",Test!A295)),RIGHT(Test!A295,LEN(Test!A295)-FIND(",",Test!A295,FIND(",",Test!A295,FIND(",",Test!A295,FIND(",",Test!A295)+1)+1)+1)),IF(Test!B295&lt;&gt;"",RIGHT(Test!B295,LEN(Test!B295)-FIND(",",Test!B295,FIND(",",Test!B295)+1)),IF(Test!A295&lt;&gt;"",MID(Test!A295,FIND(",",Test!A295,FIND(",",Test!A295,FIND(",",Test!A295)+1)+1)+1,LEN(Test!A295)-FIND(",",Test!A295,FIND(",",Test!A295,FIND(",",Test!A295)+1)+1)),""))) &amp; IF(Test!C295&lt;&gt;"", " " &amp; SUBSTITUTE(Test!C295,"-",""), "")</f>
        <v/>
      </c>
    </row>
    <row r="296" spans="1:3" x14ac:dyDescent="0.25">
      <c r="A296" t="str">
        <f>IF(Test!A296="", "", IF(ISNUMBER(FIND("Query",Test!A296)), "AS Query ZMMIMR91 , ZGRIR_ALV", IF(LEFT(Test!A296,1)="7", "AS " &amp; Test!A296, "AS " &amp; IF(Test!B296="",SUBSTITUTE(MID(Test!A296,FIND(",",Test!A296)+1,FIND(",",Test!A296,FIND(",",Test!A296)+1)-FIND(",",Test!A296)-1),"Cube ",""),LEFT(Test!B296,FIND(",",Test!B296)-1)))))</f>
        <v/>
      </c>
      <c r="B296" t="str">
        <f>IF(ISNUMBER(SEARCH("Query", Test!A296)), MID(Test!A296,FIND(",", Test!A296,FIND(",", Test!A296,FIND(",", Test!A296)+1)+1)+1, FIND(",", Test!A296,FIND(",", Test!A296,FIND(",", Test!A296,FIND(",", Test!A296)+1)+1)+1)-FIND(",", Test!A296,FIND(",", Test!A296,FIND(",", Test!A296)+1)+1)-1), IF(Test!B296&lt;&gt;"",MID(Test!B296,FIND(",",Test!B296)+1,FIND(",",Test!B296,FIND(",",Test!B296)+1)-FIND(",",Test!B296)-1),IF(Test!A296&lt;&gt;"",MID(Test!A296,FIND(",",Test!A296,FIND(",",Test!A296)+1)+1,FIND(",",Test!A296,FIND(",",Test!A296,FIND(",",Test!A296)+1)+1)-FIND(",",Test!A296,FIND(",",Test!A296)+1)-1),"")))</f>
        <v/>
      </c>
      <c r="C296" t="str">
        <f>IF(ISNUMBER(FIND("Query",Test!A296)),RIGHT(Test!A296,LEN(Test!A296)-FIND(",",Test!A296,FIND(",",Test!A296,FIND(",",Test!A296,FIND(",",Test!A296)+1)+1)+1)),IF(Test!B296&lt;&gt;"",RIGHT(Test!B296,LEN(Test!B296)-FIND(",",Test!B296,FIND(",",Test!B296)+1)),IF(Test!A296&lt;&gt;"",MID(Test!A296,FIND(",",Test!A296,FIND(",",Test!A296,FIND(",",Test!A296)+1)+1)+1,LEN(Test!A296)-FIND(",",Test!A296,FIND(",",Test!A296,FIND(",",Test!A296)+1)+1)),""))) &amp; IF(Test!C296&lt;&gt;"", " " &amp; SUBSTITUTE(Test!C296,"-",""), "")</f>
        <v/>
      </c>
    </row>
    <row r="297" spans="1:3" x14ac:dyDescent="0.25">
      <c r="A297" t="str">
        <f>IF(Test!A297="", "", IF(ISNUMBER(FIND("Query",Test!A297)), "AS Query ZMMIMR91 , ZGRIR_ALV", IF(LEFT(Test!A297,1)="7", "AS " &amp; Test!A297, "AS " &amp; IF(Test!B297="",SUBSTITUTE(MID(Test!A297,FIND(",",Test!A297)+1,FIND(",",Test!A297,FIND(",",Test!A297)+1)-FIND(",",Test!A297)-1),"Cube ",""),LEFT(Test!B297,FIND(",",Test!B297)-1)))))</f>
        <v/>
      </c>
      <c r="B297" t="str">
        <f>IF(ISNUMBER(SEARCH("Query", Test!A297)), MID(Test!A297,FIND(",", Test!A297,FIND(",", Test!A297,FIND(",", Test!A297)+1)+1)+1, FIND(",", Test!A297,FIND(",", Test!A297,FIND(",", Test!A297,FIND(",", Test!A297)+1)+1)+1)-FIND(",", Test!A297,FIND(",", Test!A297,FIND(",", Test!A297)+1)+1)-1), IF(Test!B297&lt;&gt;"",MID(Test!B297,FIND(",",Test!B297)+1,FIND(",",Test!B297,FIND(",",Test!B297)+1)-FIND(",",Test!B297)-1),IF(Test!A297&lt;&gt;"",MID(Test!A297,FIND(",",Test!A297,FIND(",",Test!A297)+1)+1,FIND(",",Test!A297,FIND(",",Test!A297,FIND(",",Test!A297)+1)+1)-FIND(",",Test!A297,FIND(",",Test!A297)+1)-1),"")))</f>
        <v/>
      </c>
      <c r="C297" t="str">
        <f>IF(ISNUMBER(FIND("Query",Test!A297)),RIGHT(Test!A297,LEN(Test!A297)-FIND(",",Test!A297,FIND(",",Test!A297,FIND(",",Test!A297,FIND(",",Test!A297)+1)+1)+1)),IF(Test!B297&lt;&gt;"",RIGHT(Test!B297,LEN(Test!B297)-FIND(",",Test!B297,FIND(",",Test!B297)+1)),IF(Test!A297&lt;&gt;"",MID(Test!A297,FIND(",",Test!A297,FIND(",",Test!A297,FIND(",",Test!A297)+1)+1)+1,LEN(Test!A297)-FIND(",",Test!A297,FIND(",",Test!A297,FIND(",",Test!A297)+1)+1)),""))) &amp; IF(Test!C297&lt;&gt;"", " " &amp; SUBSTITUTE(Test!C297,"-",""), "")</f>
        <v/>
      </c>
    </row>
    <row r="298" spans="1:3" x14ac:dyDescent="0.25">
      <c r="A298" t="str">
        <f>IF(Test!A298="", "", IF(ISNUMBER(FIND("Query",Test!A298)), "AS Query ZMMIMR91 , ZGRIR_ALV", IF(LEFT(Test!A298,1)="7", "AS " &amp; Test!A298, "AS " &amp; IF(Test!B298="",SUBSTITUTE(MID(Test!A298,FIND(",",Test!A298)+1,FIND(",",Test!A298,FIND(",",Test!A298)+1)-FIND(",",Test!A298)-1),"Cube ",""),LEFT(Test!B298,FIND(",",Test!B298)-1)))))</f>
        <v/>
      </c>
      <c r="B298" t="str">
        <f>IF(ISNUMBER(SEARCH("Query", Test!A298)), MID(Test!A298,FIND(",", Test!A298,FIND(",", Test!A298,FIND(",", Test!A298)+1)+1)+1, FIND(",", Test!A298,FIND(",", Test!A298,FIND(",", Test!A298,FIND(",", Test!A298)+1)+1)+1)-FIND(",", Test!A298,FIND(",", Test!A298,FIND(",", Test!A298)+1)+1)-1), IF(Test!B298&lt;&gt;"",MID(Test!B298,FIND(",",Test!B298)+1,FIND(",",Test!B298,FIND(",",Test!B298)+1)-FIND(",",Test!B298)-1),IF(Test!A298&lt;&gt;"",MID(Test!A298,FIND(",",Test!A298,FIND(",",Test!A298)+1)+1,FIND(",",Test!A298,FIND(",",Test!A298,FIND(",",Test!A298)+1)+1)-FIND(",",Test!A298,FIND(",",Test!A298)+1)-1),"")))</f>
        <v/>
      </c>
      <c r="C298" t="str">
        <f>IF(ISNUMBER(FIND("Query",Test!A298)),RIGHT(Test!A298,LEN(Test!A298)-FIND(",",Test!A298,FIND(",",Test!A298,FIND(",",Test!A298,FIND(",",Test!A298)+1)+1)+1)),IF(Test!B298&lt;&gt;"",RIGHT(Test!B298,LEN(Test!B298)-FIND(",",Test!B298,FIND(",",Test!B298)+1)),IF(Test!A298&lt;&gt;"",MID(Test!A298,FIND(",",Test!A298,FIND(",",Test!A298,FIND(",",Test!A298)+1)+1)+1,LEN(Test!A298)-FIND(",",Test!A298,FIND(",",Test!A298,FIND(",",Test!A298)+1)+1)),""))) &amp; IF(Test!C298&lt;&gt;"", " " &amp; SUBSTITUTE(Test!C298,"-",""), "")</f>
        <v/>
      </c>
    </row>
    <row r="299" spans="1:3" x14ac:dyDescent="0.25">
      <c r="A299" t="str">
        <f>IF(Test!A299="", "", IF(ISNUMBER(FIND("Query",Test!A299)), "AS Query ZMMIMR91 , ZGRIR_ALV", IF(LEFT(Test!A299,1)="7", "AS " &amp; Test!A299, "AS " &amp; IF(Test!B299="",SUBSTITUTE(MID(Test!A299,FIND(",",Test!A299)+1,FIND(",",Test!A299,FIND(",",Test!A299)+1)-FIND(",",Test!A299)-1),"Cube ",""),LEFT(Test!B299,FIND(",",Test!B299)-1)))))</f>
        <v/>
      </c>
      <c r="B299" t="str">
        <f>IF(ISNUMBER(SEARCH("Query", Test!A299)), MID(Test!A299,FIND(",", Test!A299,FIND(",", Test!A299,FIND(",", Test!A299)+1)+1)+1, FIND(",", Test!A299,FIND(",", Test!A299,FIND(",", Test!A299,FIND(",", Test!A299)+1)+1)+1)-FIND(",", Test!A299,FIND(",", Test!A299,FIND(",", Test!A299)+1)+1)-1), IF(Test!B299&lt;&gt;"",MID(Test!B299,FIND(",",Test!B299)+1,FIND(",",Test!B299,FIND(",",Test!B299)+1)-FIND(",",Test!B299)-1),IF(Test!A299&lt;&gt;"",MID(Test!A299,FIND(",",Test!A299,FIND(",",Test!A299)+1)+1,FIND(",",Test!A299,FIND(",",Test!A299,FIND(",",Test!A299)+1)+1)-FIND(",",Test!A299,FIND(",",Test!A299)+1)-1),"")))</f>
        <v/>
      </c>
      <c r="C299" t="str">
        <f>IF(ISNUMBER(FIND("Query",Test!A299)),RIGHT(Test!A299,LEN(Test!A299)-FIND(",",Test!A299,FIND(",",Test!A299,FIND(",",Test!A299,FIND(",",Test!A299)+1)+1)+1)),IF(Test!B299&lt;&gt;"",RIGHT(Test!B299,LEN(Test!B299)-FIND(",",Test!B299,FIND(",",Test!B299)+1)),IF(Test!A299&lt;&gt;"",MID(Test!A299,FIND(",",Test!A299,FIND(",",Test!A299,FIND(",",Test!A299)+1)+1)+1,LEN(Test!A299)-FIND(",",Test!A299,FIND(",",Test!A299,FIND(",",Test!A299)+1)+1)),""))) &amp; IF(Test!C299&lt;&gt;"", " " &amp; SUBSTITUTE(Test!C299,"-",""), "")</f>
        <v/>
      </c>
    </row>
    <row r="300" spans="1:3" x14ac:dyDescent="0.25">
      <c r="A300" t="str">
        <f>IF(Test!A300="", "", IF(ISNUMBER(FIND("Query",Test!A300)), "AS Query ZMMIMR91 , ZGRIR_ALV", IF(LEFT(Test!A300,1)="7", "AS " &amp; Test!A300, "AS " &amp; IF(Test!B300="",SUBSTITUTE(MID(Test!A300,FIND(",",Test!A300)+1,FIND(",",Test!A300,FIND(",",Test!A300)+1)-FIND(",",Test!A300)-1),"Cube ",""),LEFT(Test!B300,FIND(",",Test!B300)-1)))))</f>
        <v/>
      </c>
      <c r="B300" t="str">
        <f>IF(ISNUMBER(SEARCH("Query", Test!A300)), MID(Test!A300,FIND(",", Test!A300,FIND(",", Test!A300,FIND(",", Test!A300)+1)+1)+1, FIND(",", Test!A300,FIND(",", Test!A300,FIND(",", Test!A300,FIND(",", Test!A300)+1)+1)+1)-FIND(",", Test!A300,FIND(",", Test!A300,FIND(",", Test!A300)+1)+1)-1), IF(Test!B300&lt;&gt;"",MID(Test!B300,FIND(",",Test!B300)+1,FIND(",",Test!B300,FIND(",",Test!B300)+1)-FIND(",",Test!B300)-1),IF(Test!A300&lt;&gt;"",MID(Test!A300,FIND(",",Test!A300,FIND(",",Test!A300)+1)+1,FIND(",",Test!A300,FIND(",",Test!A300,FIND(",",Test!A300)+1)+1)-FIND(",",Test!A300,FIND(",",Test!A300)+1)-1),"")))</f>
        <v/>
      </c>
      <c r="C300" t="str">
        <f>IF(ISNUMBER(FIND("Query",Test!A300)),RIGHT(Test!A300,LEN(Test!A300)-FIND(",",Test!A300,FIND(",",Test!A300,FIND(",",Test!A300,FIND(",",Test!A300)+1)+1)+1)),IF(Test!B300&lt;&gt;"",RIGHT(Test!B300,LEN(Test!B300)-FIND(",",Test!B300,FIND(",",Test!B300)+1)),IF(Test!A300&lt;&gt;"",MID(Test!A300,FIND(",",Test!A300,FIND(",",Test!A300,FIND(",",Test!A300)+1)+1)+1,LEN(Test!A300)-FIND(",",Test!A300,FIND(",",Test!A300,FIND(",",Test!A300)+1)+1)),""))) &amp; IF(Test!C300&lt;&gt;"", " " &amp; SUBSTITUTE(Test!C300,"-",""), "")</f>
        <v/>
      </c>
    </row>
    <row r="301" spans="1:3" x14ac:dyDescent="0.25">
      <c r="A301" t="str">
        <f>IF(Test!A301="", "", IF(ISNUMBER(FIND("Query",Test!A301)), "AS Query ZMMIMR91 , ZGRIR_ALV", IF(LEFT(Test!A301,1)="7", "AS " &amp; Test!A301, "AS " &amp; IF(Test!B301="",SUBSTITUTE(MID(Test!A301,FIND(",",Test!A301)+1,FIND(",",Test!A301,FIND(",",Test!A301)+1)-FIND(",",Test!A301)-1),"Cube ",""),LEFT(Test!B301,FIND(",",Test!B301)-1)))))</f>
        <v/>
      </c>
      <c r="B301" t="str">
        <f>IF(ISNUMBER(SEARCH("Query", Test!A301)), MID(Test!A301,FIND(",", Test!A301,FIND(",", Test!A301,FIND(",", Test!A301)+1)+1)+1, FIND(",", Test!A301,FIND(",", Test!A301,FIND(",", Test!A301,FIND(",", Test!A301)+1)+1)+1)-FIND(",", Test!A301,FIND(",", Test!A301,FIND(",", Test!A301)+1)+1)-1), IF(Test!B301&lt;&gt;"",MID(Test!B301,FIND(",",Test!B301)+1,FIND(",",Test!B301,FIND(",",Test!B301)+1)-FIND(",",Test!B301)-1),IF(Test!A301&lt;&gt;"",MID(Test!A301,FIND(",",Test!A301,FIND(",",Test!A301)+1)+1,FIND(",",Test!A301,FIND(",",Test!A301,FIND(",",Test!A301)+1)+1)-FIND(",",Test!A301,FIND(",",Test!A301)+1)-1),"")))</f>
        <v/>
      </c>
      <c r="C301" t="str">
        <f>IF(ISNUMBER(FIND("Query",Test!A301)),RIGHT(Test!A301,LEN(Test!A301)-FIND(",",Test!A301,FIND(",",Test!A301,FIND(",",Test!A301,FIND(",",Test!A301)+1)+1)+1)),IF(Test!B301&lt;&gt;"",RIGHT(Test!B301,LEN(Test!B301)-FIND(",",Test!B301,FIND(",",Test!B301)+1)),IF(Test!A301&lt;&gt;"",MID(Test!A301,FIND(",",Test!A301,FIND(",",Test!A301,FIND(",",Test!A301)+1)+1)+1,LEN(Test!A301)-FIND(",",Test!A301,FIND(",",Test!A301,FIND(",",Test!A301)+1)+1)),""))) &amp; IF(Test!C301&lt;&gt;"", " " &amp; SUBSTITUTE(Test!C301,"-",""), "")</f>
        <v/>
      </c>
    </row>
    <row r="302" spans="1:3" x14ac:dyDescent="0.25">
      <c r="A302" t="str">
        <f>IF(Test!A302="", "", IF(ISNUMBER(FIND("Query",Test!A302)), "AS Query ZMMIMR91 , ZGRIR_ALV", IF(LEFT(Test!A302,1)="7", "AS " &amp; Test!A302, "AS " &amp; IF(Test!B302="",SUBSTITUTE(MID(Test!A302,FIND(",",Test!A302)+1,FIND(",",Test!A302,FIND(",",Test!A302)+1)-FIND(",",Test!A302)-1),"Cube ",""),LEFT(Test!B302,FIND(",",Test!B302)-1)))))</f>
        <v/>
      </c>
      <c r="B302" t="str">
        <f>IF(ISNUMBER(SEARCH("Query", Test!A302)), MID(Test!A302,FIND(",", Test!A302,FIND(",", Test!A302,FIND(",", Test!A302)+1)+1)+1, FIND(",", Test!A302,FIND(",", Test!A302,FIND(",", Test!A302,FIND(",", Test!A302)+1)+1)+1)-FIND(",", Test!A302,FIND(",", Test!A302,FIND(",", Test!A302)+1)+1)-1), IF(Test!B302&lt;&gt;"",MID(Test!B302,FIND(",",Test!B302)+1,FIND(",",Test!B302,FIND(",",Test!B302)+1)-FIND(",",Test!B302)-1),IF(Test!A302&lt;&gt;"",MID(Test!A302,FIND(",",Test!A302,FIND(",",Test!A302)+1)+1,FIND(",",Test!A302,FIND(",",Test!A302,FIND(",",Test!A302)+1)+1)-FIND(",",Test!A302,FIND(",",Test!A302)+1)-1),"")))</f>
        <v/>
      </c>
      <c r="C302" t="str">
        <f>IF(ISNUMBER(FIND("Query",Test!A302)),RIGHT(Test!A302,LEN(Test!A302)-FIND(",",Test!A302,FIND(",",Test!A302,FIND(",",Test!A302,FIND(",",Test!A302)+1)+1)+1)),IF(Test!B302&lt;&gt;"",RIGHT(Test!B302,LEN(Test!B302)-FIND(",",Test!B302,FIND(",",Test!B302)+1)),IF(Test!A302&lt;&gt;"",MID(Test!A302,FIND(",",Test!A302,FIND(",",Test!A302,FIND(",",Test!A302)+1)+1)+1,LEN(Test!A302)-FIND(",",Test!A302,FIND(",",Test!A302,FIND(",",Test!A302)+1)+1)),""))) &amp; IF(Test!C302&lt;&gt;"", " " &amp; SUBSTITUTE(Test!C302,"-",""), "")</f>
        <v/>
      </c>
    </row>
    <row r="303" spans="1:3" x14ac:dyDescent="0.25">
      <c r="A303" t="str">
        <f>IF(Test!A303="", "", IF(ISNUMBER(FIND("Query",Test!A303)), "AS Query ZMMIMR91 , ZGRIR_ALV", IF(LEFT(Test!A303,1)="7", "AS " &amp; Test!A303, "AS " &amp; IF(Test!B303="",SUBSTITUTE(MID(Test!A303,FIND(",",Test!A303)+1,FIND(",",Test!A303,FIND(",",Test!A303)+1)-FIND(",",Test!A303)-1),"Cube ",""),LEFT(Test!B303,FIND(",",Test!B303)-1)))))</f>
        <v/>
      </c>
      <c r="B303" t="str">
        <f>IF(ISNUMBER(SEARCH("Query", Test!A303)), MID(Test!A303,FIND(",", Test!A303,FIND(",", Test!A303,FIND(",", Test!A303)+1)+1)+1, FIND(",", Test!A303,FIND(",", Test!A303,FIND(",", Test!A303,FIND(",", Test!A303)+1)+1)+1)-FIND(",", Test!A303,FIND(",", Test!A303,FIND(",", Test!A303)+1)+1)-1), IF(Test!B303&lt;&gt;"",MID(Test!B303,FIND(",",Test!B303)+1,FIND(",",Test!B303,FIND(",",Test!B303)+1)-FIND(",",Test!B303)-1),IF(Test!A303&lt;&gt;"",MID(Test!A303,FIND(",",Test!A303,FIND(",",Test!A303)+1)+1,FIND(",",Test!A303,FIND(",",Test!A303,FIND(",",Test!A303)+1)+1)-FIND(",",Test!A303,FIND(",",Test!A303)+1)-1),"")))</f>
        <v/>
      </c>
      <c r="C303" t="str">
        <f>IF(ISNUMBER(FIND("Query",Test!A303)),RIGHT(Test!A303,LEN(Test!A303)-FIND(",",Test!A303,FIND(",",Test!A303,FIND(",",Test!A303,FIND(",",Test!A303)+1)+1)+1)),IF(Test!B303&lt;&gt;"",RIGHT(Test!B303,LEN(Test!B303)-FIND(",",Test!B303,FIND(",",Test!B303)+1)),IF(Test!A303&lt;&gt;"",MID(Test!A303,FIND(",",Test!A303,FIND(",",Test!A303,FIND(",",Test!A303)+1)+1)+1,LEN(Test!A303)-FIND(",",Test!A303,FIND(",",Test!A303,FIND(",",Test!A303)+1)+1)),""))) &amp; IF(Test!C303&lt;&gt;"", " " &amp; SUBSTITUTE(Test!C303,"-",""), "")</f>
        <v/>
      </c>
    </row>
    <row r="304" spans="1:3" x14ac:dyDescent="0.25">
      <c r="A304" t="str">
        <f>IF(Test!A304="", "", IF(ISNUMBER(FIND("Query",Test!A304)), "AS Query ZMMIMR91 , ZGRIR_ALV", IF(LEFT(Test!A304,1)="7", "AS " &amp; Test!A304, "AS " &amp; IF(Test!B304="",SUBSTITUTE(MID(Test!A304,FIND(",",Test!A304)+1,FIND(",",Test!A304,FIND(",",Test!A304)+1)-FIND(",",Test!A304)-1),"Cube ",""),LEFT(Test!B304,FIND(",",Test!B304)-1)))))</f>
        <v/>
      </c>
      <c r="B304" t="str">
        <f>IF(ISNUMBER(SEARCH("Query", Test!A304)), MID(Test!A304,FIND(",", Test!A304,FIND(",", Test!A304,FIND(",", Test!A304)+1)+1)+1, FIND(",", Test!A304,FIND(",", Test!A304,FIND(",", Test!A304,FIND(",", Test!A304)+1)+1)+1)-FIND(",", Test!A304,FIND(",", Test!A304,FIND(",", Test!A304)+1)+1)-1), IF(Test!B304&lt;&gt;"",MID(Test!B304,FIND(",",Test!B304)+1,FIND(",",Test!B304,FIND(",",Test!B304)+1)-FIND(",",Test!B304)-1),IF(Test!A304&lt;&gt;"",MID(Test!A304,FIND(",",Test!A304,FIND(",",Test!A304)+1)+1,FIND(",",Test!A304,FIND(",",Test!A304,FIND(",",Test!A304)+1)+1)-FIND(",",Test!A304,FIND(",",Test!A304)+1)-1),"")))</f>
        <v/>
      </c>
      <c r="C304" t="str">
        <f>IF(ISNUMBER(FIND("Query",Test!A304)),RIGHT(Test!A304,LEN(Test!A304)-FIND(",",Test!A304,FIND(",",Test!A304,FIND(",",Test!A304,FIND(",",Test!A304)+1)+1)+1)),IF(Test!B304&lt;&gt;"",RIGHT(Test!B304,LEN(Test!B304)-FIND(",",Test!B304,FIND(",",Test!B304)+1)),IF(Test!A304&lt;&gt;"",MID(Test!A304,FIND(",",Test!A304,FIND(",",Test!A304,FIND(",",Test!A304)+1)+1)+1,LEN(Test!A304)-FIND(",",Test!A304,FIND(",",Test!A304,FIND(",",Test!A304)+1)+1)),""))) &amp; IF(Test!C304&lt;&gt;"", " " &amp; SUBSTITUTE(Test!C304,"-",""), "")</f>
        <v/>
      </c>
    </row>
    <row r="305" spans="1:3" x14ac:dyDescent="0.25">
      <c r="A305" t="str">
        <f>IF(Test!A305="", "", IF(ISNUMBER(FIND("Query",Test!A305)), "AS Query ZMMIMR91 , ZGRIR_ALV", IF(LEFT(Test!A305,1)="7", "AS " &amp; Test!A305, "AS " &amp; IF(Test!B305="",SUBSTITUTE(MID(Test!A305,FIND(",",Test!A305)+1,FIND(",",Test!A305,FIND(",",Test!A305)+1)-FIND(",",Test!A305)-1),"Cube ",""),LEFT(Test!B305,FIND(",",Test!B305)-1)))))</f>
        <v/>
      </c>
      <c r="B305" t="str">
        <f>IF(ISNUMBER(SEARCH("Query", Test!A305)), MID(Test!A305,FIND(",", Test!A305,FIND(",", Test!A305,FIND(",", Test!A305)+1)+1)+1, FIND(",", Test!A305,FIND(",", Test!A305,FIND(",", Test!A305,FIND(",", Test!A305)+1)+1)+1)-FIND(",", Test!A305,FIND(",", Test!A305,FIND(",", Test!A305)+1)+1)-1), IF(Test!B305&lt;&gt;"",MID(Test!B305,FIND(",",Test!B305)+1,FIND(",",Test!B305,FIND(",",Test!B305)+1)-FIND(",",Test!B305)-1),IF(Test!A305&lt;&gt;"",MID(Test!A305,FIND(",",Test!A305,FIND(",",Test!A305)+1)+1,FIND(",",Test!A305,FIND(",",Test!A305,FIND(",",Test!A305)+1)+1)-FIND(",",Test!A305,FIND(",",Test!A305)+1)-1),"")))</f>
        <v/>
      </c>
      <c r="C305" t="str">
        <f>IF(ISNUMBER(FIND("Query",Test!A305)),RIGHT(Test!A305,LEN(Test!A305)-FIND(",",Test!A305,FIND(",",Test!A305,FIND(",",Test!A305,FIND(",",Test!A305)+1)+1)+1)),IF(Test!B305&lt;&gt;"",RIGHT(Test!B305,LEN(Test!B305)-FIND(",",Test!B305,FIND(",",Test!B305)+1)),IF(Test!A305&lt;&gt;"",MID(Test!A305,FIND(",",Test!A305,FIND(",",Test!A305,FIND(",",Test!A305)+1)+1)+1,LEN(Test!A305)-FIND(",",Test!A305,FIND(",",Test!A305,FIND(",",Test!A305)+1)+1)),""))) &amp; IF(Test!C305&lt;&gt;"", " " &amp; SUBSTITUTE(Test!C305,"-",""), "")</f>
        <v/>
      </c>
    </row>
    <row r="306" spans="1:3" x14ac:dyDescent="0.25">
      <c r="A306" t="str">
        <f>IF(Test!A306="", "", IF(ISNUMBER(FIND("Query",Test!A306)), "AS Query ZMMIMR91 , ZGRIR_ALV", IF(LEFT(Test!A306,1)="7", "AS " &amp; Test!A306, "AS " &amp; IF(Test!B306="",SUBSTITUTE(MID(Test!A306,FIND(",",Test!A306)+1,FIND(",",Test!A306,FIND(",",Test!A306)+1)-FIND(",",Test!A306)-1),"Cube ",""),LEFT(Test!B306,FIND(",",Test!B306)-1)))))</f>
        <v/>
      </c>
      <c r="B306" t="str">
        <f>IF(ISNUMBER(SEARCH("Query", Test!A306)), MID(Test!A306,FIND(",", Test!A306,FIND(",", Test!A306,FIND(",", Test!A306)+1)+1)+1, FIND(",", Test!A306,FIND(",", Test!A306,FIND(",", Test!A306,FIND(",", Test!A306)+1)+1)+1)-FIND(",", Test!A306,FIND(",", Test!A306,FIND(",", Test!A306)+1)+1)-1), IF(Test!B306&lt;&gt;"",MID(Test!B306,FIND(",",Test!B306)+1,FIND(",",Test!B306,FIND(",",Test!B306)+1)-FIND(",",Test!B306)-1),IF(Test!A306&lt;&gt;"",MID(Test!A306,FIND(",",Test!A306,FIND(",",Test!A306)+1)+1,FIND(",",Test!A306,FIND(",",Test!A306,FIND(",",Test!A306)+1)+1)-FIND(",",Test!A306,FIND(",",Test!A306)+1)-1),"")))</f>
        <v/>
      </c>
      <c r="C306" t="str">
        <f>IF(ISNUMBER(FIND("Query",Test!A306)),RIGHT(Test!A306,LEN(Test!A306)-FIND(",",Test!A306,FIND(",",Test!A306,FIND(",",Test!A306,FIND(",",Test!A306)+1)+1)+1)),IF(Test!B306&lt;&gt;"",RIGHT(Test!B306,LEN(Test!B306)-FIND(",",Test!B306,FIND(",",Test!B306)+1)),IF(Test!A306&lt;&gt;"",MID(Test!A306,FIND(",",Test!A306,FIND(",",Test!A306,FIND(",",Test!A306)+1)+1)+1,LEN(Test!A306)-FIND(",",Test!A306,FIND(",",Test!A306,FIND(",",Test!A306)+1)+1)),""))) &amp; IF(Test!C306&lt;&gt;"", " " &amp; SUBSTITUTE(Test!C306,"-",""), "")</f>
        <v/>
      </c>
    </row>
    <row r="307" spans="1:3" x14ac:dyDescent="0.25">
      <c r="A307" t="str">
        <f>IF(Test!A307="", "", IF(ISNUMBER(FIND("Query",Test!A307)), "AS Query ZMMIMR91 , ZGRIR_ALV", IF(LEFT(Test!A307,1)="7", "AS " &amp; Test!A307, "AS " &amp; IF(Test!B307="",SUBSTITUTE(MID(Test!A307,FIND(",",Test!A307)+1,FIND(",",Test!A307,FIND(",",Test!A307)+1)-FIND(",",Test!A307)-1),"Cube ",""),LEFT(Test!B307,FIND(",",Test!B307)-1)))))</f>
        <v/>
      </c>
      <c r="B307" t="str">
        <f>IF(ISNUMBER(SEARCH("Query", Test!A307)), MID(Test!A307,FIND(",", Test!A307,FIND(",", Test!A307,FIND(",", Test!A307)+1)+1)+1, FIND(",", Test!A307,FIND(",", Test!A307,FIND(",", Test!A307,FIND(",", Test!A307)+1)+1)+1)-FIND(",", Test!A307,FIND(",", Test!A307,FIND(",", Test!A307)+1)+1)-1), IF(Test!B307&lt;&gt;"",MID(Test!B307,FIND(",",Test!B307)+1,FIND(",",Test!B307,FIND(",",Test!B307)+1)-FIND(",",Test!B307)-1),IF(Test!A307&lt;&gt;"",MID(Test!A307,FIND(",",Test!A307,FIND(",",Test!A307)+1)+1,FIND(",",Test!A307,FIND(",",Test!A307,FIND(",",Test!A307)+1)+1)-FIND(",",Test!A307,FIND(",",Test!A307)+1)-1),"")))</f>
        <v/>
      </c>
      <c r="C307" t="str">
        <f>IF(ISNUMBER(FIND("Query",Test!A307)),RIGHT(Test!A307,LEN(Test!A307)-FIND(",",Test!A307,FIND(",",Test!A307,FIND(",",Test!A307,FIND(",",Test!A307)+1)+1)+1)),IF(Test!B307&lt;&gt;"",RIGHT(Test!B307,LEN(Test!B307)-FIND(",",Test!B307,FIND(",",Test!B307)+1)),IF(Test!A307&lt;&gt;"",MID(Test!A307,FIND(",",Test!A307,FIND(",",Test!A307,FIND(",",Test!A307)+1)+1)+1,LEN(Test!A307)-FIND(",",Test!A307,FIND(",",Test!A307,FIND(",",Test!A307)+1)+1)),""))) &amp; IF(Test!C307&lt;&gt;"", " " &amp; SUBSTITUTE(Test!C307,"-",""), "")</f>
        <v/>
      </c>
    </row>
    <row r="308" spans="1:3" x14ac:dyDescent="0.25">
      <c r="A308" t="str">
        <f>IF(Test!A308="", "", IF(ISNUMBER(FIND("Query",Test!A308)), "AS Query ZMMIMR91 , ZGRIR_ALV", IF(LEFT(Test!A308,1)="7", "AS " &amp; Test!A308, "AS " &amp; IF(Test!B308="",SUBSTITUTE(MID(Test!A308,FIND(",",Test!A308)+1,FIND(",",Test!A308,FIND(",",Test!A308)+1)-FIND(",",Test!A308)-1),"Cube ",""),LEFT(Test!B308,FIND(",",Test!B308)-1)))))</f>
        <v/>
      </c>
      <c r="B308" t="str">
        <f>IF(ISNUMBER(SEARCH("Query", Test!A308)), MID(Test!A308,FIND(",", Test!A308,FIND(",", Test!A308,FIND(",", Test!A308)+1)+1)+1, FIND(",", Test!A308,FIND(",", Test!A308,FIND(",", Test!A308,FIND(",", Test!A308)+1)+1)+1)-FIND(",", Test!A308,FIND(",", Test!A308,FIND(",", Test!A308)+1)+1)-1), IF(Test!B308&lt;&gt;"",MID(Test!B308,FIND(",",Test!B308)+1,FIND(",",Test!B308,FIND(",",Test!B308)+1)-FIND(",",Test!B308)-1),IF(Test!A308&lt;&gt;"",MID(Test!A308,FIND(",",Test!A308,FIND(",",Test!A308)+1)+1,FIND(",",Test!A308,FIND(",",Test!A308,FIND(",",Test!A308)+1)+1)-FIND(",",Test!A308,FIND(",",Test!A308)+1)-1),"")))</f>
        <v/>
      </c>
      <c r="C308" t="str">
        <f>IF(ISNUMBER(FIND("Query",Test!A308)),RIGHT(Test!A308,LEN(Test!A308)-FIND(",",Test!A308,FIND(",",Test!A308,FIND(",",Test!A308,FIND(",",Test!A308)+1)+1)+1)),IF(Test!B308&lt;&gt;"",RIGHT(Test!B308,LEN(Test!B308)-FIND(",",Test!B308,FIND(",",Test!B308)+1)),IF(Test!A308&lt;&gt;"",MID(Test!A308,FIND(",",Test!A308,FIND(",",Test!A308,FIND(",",Test!A308)+1)+1)+1,LEN(Test!A308)-FIND(",",Test!A308,FIND(",",Test!A308,FIND(",",Test!A308)+1)+1)),""))) &amp; IF(Test!C308&lt;&gt;"", " " &amp; SUBSTITUTE(Test!C308,"-",""), "")</f>
        <v/>
      </c>
    </row>
    <row r="309" spans="1:3" x14ac:dyDescent="0.25">
      <c r="A309" t="str">
        <f>IF(Test!A309="", "", IF(ISNUMBER(FIND("Query",Test!A309)), "AS Query ZMMIMR91 , ZGRIR_ALV", IF(LEFT(Test!A309,1)="7", "AS " &amp; Test!A309, "AS " &amp; IF(Test!B309="",SUBSTITUTE(MID(Test!A309,FIND(",",Test!A309)+1,FIND(",",Test!A309,FIND(",",Test!A309)+1)-FIND(",",Test!A309)-1),"Cube ",""),LEFT(Test!B309,FIND(",",Test!B309)-1)))))</f>
        <v/>
      </c>
      <c r="B309" t="str">
        <f>IF(ISNUMBER(SEARCH("Query", Test!A309)), MID(Test!A309,FIND(",", Test!A309,FIND(",", Test!A309,FIND(",", Test!A309)+1)+1)+1, FIND(",", Test!A309,FIND(",", Test!A309,FIND(",", Test!A309,FIND(",", Test!A309)+1)+1)+1)-FIND(",", Test!A309,FIND(",", Test!A309,FIND(",", Test!A309)+1)+1)-1), IF(Test!B309&lt;&gt;"",MID(Test!B309,FIND(",",Test!B309)+1,FIND(",",Test!B309,FIND(",",Test!B309)+1)-FIND(",",Test!B309)-1),IF(Test!A309&lt;&gt;"",MID(Test!A309,FIND(",",Test!A309,FIND(",",Test!A309)+1)+1,FIND(",",Test!A309,FIND(",",Test!A309,FIND(",",Test!A309)+1)+1)-FIND(",",Test!A309,FIND(",",Test!A309)+1)-1),"")))</f>
        <v/>
      </c>
      <c r="C309" t="str">
        <f>IF(ISNUMBER(FIND("Query",Test!A309)),RIGHT(Test!A309,LEN(Test!A309)-FIND(",",Test!A309,FIND(",",Test!A309,FIND(",",Test!A309,FIND(",",Test!A309)+1)+1)+1)),IF(Test!B309&lt;&gt;"",RIGHT(Test!B309,LEN(Test!B309)-FIND(",",Test!B309,FIND(",",Test!B309)+1)),IF(Test!A309&lt;&gt;"",MID(Test!A309,FIND(",",Test!A309,FIND(",",Test!A309,FIND(",",Test!A309)+1)+1)+1,LEN(Test!A309)-FIND(",",Test!A309,FIND(",",Test!A309,FIND(",",Test!A309)+1)+1)),""))) &amp; IF(Test!C309&lt;&gt;"", " " &amp; SUBSTITUTE(Test!C309,"-",""), "")</f>
        <v/>
      </c>
    </row>
    <row r="310" spans="1:3" x14ac:dyDescent="0.25">
      <c r="A310" t="str">
        <f>IF(Test!A310="", "", IF(ISNUMBER(FIND("Query",Test!A310)), "AS Query ZMMIMR91 , ZGRIR_ALV", IF(LEFT(Test!A310,1)="7", "AS " &amp; Test!A310, "AS " &amp; IF(Test!B310="",SUBSTITUTE(MID(Test!A310,FIND(",",Test!A310)+1,FIND(",",Test!A310,FIND(",",Test!A310)+1)-FIND(",",Test!A310)-1),"Cube ",""),LEFT(Test!B310,FIND(",",Test!B310)-1)))))</f>
        <v/>
      </c>
      <c r="B310" t="str">
        <f>IF(ISNUMBER(SEARCH("Query", Test!A310)), MID(Test!A310,FIND(",", Test!A310,FIND(",", Test!A310,FIND(",", Test!A310)+1)+1)+1, FIND(",", Test!A310,FIND(",", Test!A310,FIND(",", Test!A310,FIND(",", Test!A310)+1)+1)+1)-FIND(",", Test!A310,FIND(",", Test!A310,FIND(",", Test!A310)+1)+1)-1), IF(Test!B310&lt;&gt;"",MID(Test!B310,FIND(",",Test!B310)+1,FIND(",",Test!B310,FIND(",",Test!B310)+1)-FIND(",",Test!B310)-1),IF(Test!A310&lt;&gt;"",MID(Test!A310,FIND(",",Test!A310,FIND(",",Test!A310)+1)+1,FIND(",",Test!A310,FIND(",",Test!A310,FIND(",",Test!A310)+1)+1)-FIND(",",Test!A310,FIND(",",Test!A310)+1)-1),"")))</f>
        <v/>
      </c>
      <c r="C310" t="str">
        <f>IF(ISNUMBER(FIND("Query",Test!A310)),RIGHT(Test!A310,LEN(Test!A310)-FIND(",",Test!A310,FIND(",",Test!A310,FIND(",",Test!A310,FIND(",",Test!A310)+1)+1)+1)),IF(Test!B310&lt;&gt;"",RIGHT(Test!B310,LEN(Test!B310)-FIND(",",Test!B310,FIND(",",Test!B310)+1)),IF(Test!A310&lt;&gt;"",MID(Test!A310,FIND(",",Test!A310,FIND(",",Test!A310,FIND(",",Test!A310)+1)+1)+1,LEN(Test!A310)-FIND(",",Test!A310,FIND(",",Test!A310,FIND(",",Test!A310)+1)+1)),""))) &amp; IF(Test!C310&lt;&gt;"", " " &amp; SUBSTITUTE(Test!C310,"-",""), "")</f>
        <v/>
      </c>
    </row>
    <row r="311" spans="1:3" x14ac:dyDescent="0.25">
      <c r="A311" t="str">
        <f>IF(Test!A311="", "", IF(ISNUMBER(FIND("Query",Test!A311)), "AS Query ZMMIMR91 , ZGRIR_ALV", IF(LEFT(Test!A311,1)="7", "AS " &amp; Test!A311, "AS " &amp; IF(Test!B311="",SUBSTITUTE(MID(Test!A311,FIND(",",Test!A311)+1,FIND(",",Test!A311,FIND(",",Test!A311)+1)-FIND(",",Test!A311)-1),"Cube ",""),LEFT(Test!B311,FIND(",",Test!B311)-1)))))</f>
        <v/>
      </c>
      <c r="B311" t="str">
        <f>IF(ISNUMBER(SEARCH("Query", Test!A311)), MID(Test!A311,FIND(",", Test!A311,FIND(",", Test!A311,FIND(",", Test!A311)+1)+1)+1, FIND(",", Test!A311,FIND(",", Test!A311,FIND(",", Test!A311,FIND(",", Test!A311)+1)+1)+1)-FIND(",", Test!A311,FIND(",", Test!A311,FIND(",", Test!A311)+1)+1)-1), IF(Test!B311&lt;&gt;"",MID(Test!B311,FIND(",",Test!B311)+1,FIND(",",Test!B311,FIND(",",Test!B311)+1)-FIND(",",Test!B311)-1),IF(Test!A311&lt;&gt;"",MID(Test!A311,FIND(",",Test!A311,FIND(",",Test!A311)+1)+1,FIND(",",Test!A311,FIND(",",Test!A311,FIND(",",Test!A311)+1)+1)-FIND(",",Test!A311,FIND(",",Test!A311)+1)-1),"")))</f>
        <v/>
      </c>
      <c r="C311" t="str">
        <f>IF(ISNUMBER(FIND("Query",Test!A311)),RIGHT(Test!A311,LEN(Test!A311)-FIND(",",Test!A311,FIND(",",Test!A311,FIND(",",Test!A311,FIND(",",Test!A311)+1)+1)+1)),IF(Test!B311&lt;&gt;"",RIGHT(Test!B311,LEN(Test!B311)-FIND(",",Test!B311,FIND(",",Test!B311)+1)),IF(Test!A311&lt;&gt;"",MID(Test!A311,FIND(",",Test!A311,FIND(",",Test!A311,FIND(",",Test!A311)+1)+1)+1,LEN(Test!A311)-FIND(",",Test!A311,FIND(",",Test!A311,FIND(",",Test!A311)+1)+1)),""))) &amp; IF(Test!C311&lt;&gt;"", " " &amp; SUBSTITUTE(Test!C311,"-",""), "")</f>
        <v/>
      </c>
    </row>
    <row r="312" spans="1:3" x14ac:dyDescent="0.25">
      <c r="A312" t="str">
        <f>IF(Test!A312="", "", IF(ISNUMBER(FIND("Query",Test!A312)), "AS Query ZMMIMR91 , ZGRIR_ALV", IF(LEFT(Test!A312,1)="7", "AS " &amp; Test!A312, "AS " &amp; IF(Test!B312="",SUBSTITUTE(MID(Test!A312,FIND(",",Test!A312)+1,FIND(",",Test!A312,FIND(",",Test!A312)+1)-FIND(",",Test!A312)-1),"Cube ",""),LEFT(Test!B312,FIND(",",Test!B312)-1)))))</f>
        <v/>
      </c>
      <c r="B312" t="str">
        <f>IF(ISNUMBER(SEARCH("Query", Test!A312)), MID(Test!A312,FIND(",", Test!A312,FIND(",", Test!A312,FIND(",", Test!A312)+1)+1)+1, FIND(",", Test!A312,FIND(",", Test!A312,FIND(",", Test!A312,FIND(",", Test!A312)+1)+1)+1)-FIND(",", Test!A312,FIND(",", Test!A312,FIND(",", Test!A312)+1)+1)-1), IF(Test!B312&lt;&gt;"",MID(Test!B312,FIND(",",Test!B312)+1,FIND(",",Test!B312,FIND(",",Test!B312)+1)-FIND(",",Test!B312)-1),IF(Test!A312&lt;&gt;"",MID(Test!A312,FIND(",",Test!A312,FIND(",",Test!A312)+1)+1,FIND(",",Test!A312,FIND(",",Test!A312,FIND(",",Test!A312)+1)+1)-FIND(",",Test!A312,FIND(",",Test!A312)+1)-1),"")))</f>
        <v/>
      </c>
      <c r="C312" t="str">
        <f>IF(ISNUMBER(FIND("Query",Test!A312)),RIGHT(Test!A312,LEN(Test!A312)-FIND(",",Test!A312,FIND(",",Test!A312,FIND(",",Test!A312,FIND(",",Test!A312)+1)+1)+1)),IF(Test!B312&lt;&gt;"",RIGHT(Test!B312,LEN(Test!B312)-FIND(",",Test!B312,FIND(",",Test!B312)+1)),IF(Test!A312&lt;&gt;"",MID(Test!A312,FIND(",",Test!A312,FIND(",",Test!A312,FIND(",",Test!A312)+1)+1)+1,LEN(Test!A312)-FIND(",",Test!A312,FIND(",",Test!A312,FIND(",",Test!A312)+1)+1)),""))) &amp; IF(Test!C312&lt;&gt;"", " " &amp; SUBSTITUTE(Test!C312,"-",""), "")</f>
        <v/>
      </c>
    </row>
    <row r="313" spans="1:3" x14ac:dyDescent="0.25">
      <c r="A313" t="str">
        <f>IF(Test!A313="", "", IF(ISNUMBER(FIND("Query",Test!A313)), "AS Query ZMMIMR91 , ZGRIR_ALV", IF(LEFT(Test!A313,1)="7", "AS " &amp; Test!A313, "AS " &amp; IF(Test!B313="",SUBSTITUTE(MID(Test!A313,FIND(",",Test!A313)+1,FIND(",",Test!A313,FIND(",",Test!A313)+1)-FIND(",",Test!A313)-1),"Cube ",""),LEFT(Test!B313,FIND(",",Test!B313)-1)))))</f>
        <v/>
      </c>
      <c r="B313" t="str">
        <f>IF(ISNUMBER(SEARCH("Query", Test!A313)), MID(Test!A313,FIND(",", Test!A313,FIND(",", Test!A313,FIND(",", Test!A313)+1)+1)+1, FIND(",", Test!A313,FIND(",", Test!A313,FIND(",", Test!A313,FIND(",", Test!A313)+1)+1)+1)-FIND(",", Test!A313,FIND(",", Test!A313,FIND(",", Test!A313)+1)+1)-1), IF(Test!B313&lt;&gt;"",MID(Test!B313,FIND(",",Test!B313)+1,FIND(",",Test!B313,FIND(",",Test!B313)+1)-FIND(",",Test!B313)-1),IF(Test!A313&lt;&gt;"",MID(Test!A313,FIND(",",Test!A313,FIND(",",Test!A313)+1)+1,FIND(",",Test!A313,FIND(",",Test!A313,FIND(",",Test!A313)+1)+1)-FIND(",",Test!A313,FIND(",",Test!A313)+1)-1),"")))</f>
        <v/>
      </c>
      <c r="C313" t="str">
        <f>IF(ISNUMBER(FIND("Query",Test!A313)),RIGHT(Test!A313,LEN(Test!A313)-FIND(",",Test!A313,FIND(",",Test!A313,FIND(",",Test!A313,FIND(",",Test!A313)+1)+1)+1)),IF(Test!B313&lt;&gt;"",RIGHT(Test!B313,LEN(Test!B313)-FIND(",",Test!B313,FIND(",",Test!B313)+1)),IF(Test!A313&lt;&gt;"",MID(Test!A313,FIND(",",Test!A313,FIND(",",Test!A313,FIND(",",Test!A313)+1)+1)+1,LEN(Test!A313)-FIND(",",Test!A313,FIND(",",Test!A313,FIND(",",Test!A313)+1)+1)),""))) &amp; IF(Test!C313&lt;&gt;"", " " &amp; SUBSTITUTE(Test!C313,"-",""), "")</f>
        <v/>
      </c>
    </row>
    <row r="314" spans="1:3" x14ac:dyDescent="0.25">
      <c r="A314" t="str">
        <f>IF(Test!A314="", "", IF(ISNUMBER(FIND("Query",Test!A314)), "AS Query ZMMIMR91 , ZGRIR_ALV", IF(LEFT(Test!A314,1)="7", "AS " &amp; Test!A314, "AS " &amp; IF(Test!B314="",SUBSTITUTE(MID(Test!A314,FIND(",",Test!A314)+1,FIND(",",Test!A314,FIND(",",Test!A314)+1)-FIND(",",Test!A314)-1),"Cube ",""),LEFT(Test!B314,FIND(",",Test!B314)-1)))))</f>
        <v/>
      </c>
      <c r="B314" t="str">
        <f>IF(ISNUMBER(SEARCH("Query", Test!A314)), MID(Test!A314,FIND(",", Test!A314,FIND(",", Test!A314,FIND(",", Test!A314)+1)+1)+1, FIND(",", Test!A314,FIND(",", Test!A314,FIND(",", Test!A314,FIND(",", Test!A314)+1)+1)+1)-FIND(",", Test!A314,FIND(",", Test!A314,FIND(",", Test!A314)+1)+1)-1), IF(Test!B314&lt;&gt;"",MID(Test!B314,FIND(",",Test!B314)+1,FIND(",",Test!B314,FIND(",",Test!B314)+1)-FIND(",",Test!B314)-1),IF(Test!A314&lt;&gt;"",MID(Test!A314,FIND(",",Test!A314,FIND(",",Test!A314)+1)+1,FIND(",",Test!A314,FIND(",",Test!A314,FIND(",",Test!A314)+1)+1)-FIND(",",Test!A314,FIND(",",Test!A314)+1)-1),"")))</f>
        <v/>
      </c>
      <c r="C314" t="str">
        <f>IF(ISNUMBER(FIND("Query",Test!A314)),RIGHT(Test!A314,LEN(Test!A314)-FIND(",",Test!A314,FIND(",",Test!A314,FIND(",",Test!A314,FIND(",",Test!A314)+1)+1)+1)),IF(Test!B314&lt;&gt;"",RIGHT(Test!B314,LEN(Test!B314)-FIND(",",Test!B314,FIND(",",Test!B314)+1)),IF(Test!A314&lt;&gt;"",MID(Test!A314,FIND(",",Test!A314,FIND(",",Test!A314,FIND(",",Test!A314)+1)+1)+1,LEN(Test!A314)-FIND(",",Test!A314,FIND(",",Test!A314,FIND(",",Test!A314)+1)+1)),""))) &amp; IF(Test!C314&lt;&gt;"", " " &amp; SUBSTITUTE(Test!C314,"-",""), "")</f>
        <v/>
      </c>
    </row>
    <row r="315" spans="1:3" x14ac:dyDescent="0.25">
      <c r="A315" t="str">
        <f>IF(Test!A315="", "", IF(ISNUMBER(FIND("Query",Test!A315)), "AS Query ZMMIMR91 , ZGRIR_ALV", IF(LEFT(Test!A315,1)="7", "AS " &amp; Test!A315, "AS " &amp; IF(Test!B315="",SUBSTITUTE(MID(Test!A315,FIND(",",Test!A315)+1,FIND(",",Test!A315,FIND(",",Test!A315)+1)-FIND(",",Test!A315)-1),"Cube ",""),LEFT(Test!B315,FIND(",",Test!B315)-1)))))</f>
        <v/>
      </c>
      <c r="B315" t="str">
        <f>IF(ISNUMBER(SEARCH("Query", Test!A315)), MID(Test!A315,FIND(",", Test!A315,FIND(",", Test!A315,FIND(",", Test!A315)+1)+1)+1, FIND(",", Test!A315,FIND(",", Test!A315,FIND(",", Test!A315,FIND(",", Test!A315)+1)+1)+1)-FIND(",", Test!A315,FIND(",", Test!A315,FIND(",", Test!A315)+1)+1)-1), IF(Test!B315&lt;&gt;"",MID(Test!B315,FIND(",",Test!B315)+1,FIND(",",Test!B315,FIND(",",Test!B315)+1)-FIND(",",Test!B315)-1),IF(Test!A315&lt;&gt;"",MID(Test!A315,FIND(",",Test!A315,FIND(",",Test!A315)+1)+1,FIND(",",Test!A315,FIND(",",Test!A315,FIND(",",Test!A315)+1)+1)-FIND(",",Test!A315,FIND(",",Test!A315)+1)-1),"")))</f>
        <v/>
      </c>
      <c r="C315" t="str">
        <f>IF(ISNUMBER(FIND("Query",Test!A315)),RIGHT(Test!A315,LEN(Test!A315)-FIND(",",Test!A315,FIND(",",Test!A315,FIND(",",Test!A315,FIND(",",Test!A315)+1)+1)+1)),IF(Test!B315&lt;&gt;"",RIGHT(Test!B315,LEN(Test!B315)-FIND(",",Test!B315,FIND(",",Test!B315)+1)),IF(Test!A315&lt;&gt;"",MID(Test!A315,FIND(",",Test!A315,FIND(",",Test!A315,FIND(",",Test!A315)+1)+1)+1,LEN(Test!A315)-FIND(",",Test!A315,FIND(",",Test!A315,FIND(",",Test!A315)+1)+1)),""))) &amp; IF(Test!C315&lt;&gt;"", " " &amp; SUBSTITUTE(Test!C315,"-",""), "")</f>
        <v/>
      </c>
    </row>
    <row r="316" spans="1:3" x14ac:dyDescent="0.25">
      <c r="A316" t="str">
        <f>IF(Test!A316="", "", IF(ISNUMBER(FIND("Query",Test!A316)), "AS Query ZMMIMR91 , ZGRIR_ALV", IF(LEFT(Test!A316,1)="7", "AS " &amp; Test!A316, "AS " &amp; IF(Test!B316="",SUBSTITUTE(MID(Test!A316,FIND(",",Test!A316)+1,FIND(",",Test!A316,FIND(",",Test!A316)+1)-FIND(",",Test!A316)-1),"Cube ",""),LEFT(Test!B316,FIND(",",Test!B316)-1)))))</f>
        <v/>
      </c>
      <c r="B316" t="str">
        <f>IF(ISNUMBER(SEARCH("Query", Test!A316)), MID(Test!A316,FIND(",", Test!A316,FIND(",", Test!A316,FIND(",", Test!A316)+1)+1)+1, FIND(",", Test!A316,FIND(",", Test!A316,FIND(",", Test!A316,FIND(",", Test!A316)+1)+1)+1)-FIND(",", Test!A316,FIND(",", Test!A316,FIND(",", Test!A316)+1)+1)-1), IF(Test!B316&lt;&gt;"",MID(Test!B316,FIND(",",Test!B316)+1,FIND(",",Test!B316,FIND(",",Test!B316)+1)-FIND(",",Test!B316)-1),IF(Test!A316&lt;&gt;"",MID(Test!A316,FIND(",",Test!A316,FIND(",",Test!A316)+1)+1,FIND(",",Test!A316,FIND(",",Test!A316,FIND(",",Test!A316)+1)+1)-FIND(",",Test!A316,FIND(",",Test!A316)+1)-1),"")))</f>
        <v/>
      </c>
      <c r="C316" t="str">
        <f>IF(ISNUMBER(FIND("Query",Test!A316)),RIGHT(Test!A316,LEN(Test!A316)-FIND(",",Test!A316,FIND(",",Test!A316,FIND(",",Test!A316,FIND(",",Test!A316)+1)+1)+1)),IF(Test!B316&lt;&gt;"",RIGHT(Test!B316,LEN(Test!B316)-FIND(",",Test!B316,FIND(",",Test!B316)+1)),IF(Test!A316&lt;&gt;"",MID(Test!A316,FIND(",",Test!A316,FIND(",",Test!A316,FIND(",",Test!A316)+1)+1)+1,LEN(Test!A316)-FIND(",",Test!A316,FIND(",",Test!A316,FIND(",",Test!A316)+1)+1)),""))) &amp; IF(Test!C316&lt;&gt;"", " " &amp; SUBSTITUTE(Test!C316,"-",""), "")</f>
        <v/>
      </c>
    </row>
    <row r="317" spans="1:3" x14ac:dyDescent="0.25">
      <c r="A317" t="str">
        <f>IF(Test!A317="", "", IF(ISNUMBER(FIND("Query",Test!A317)), "AS Query ZMMIMR91 , ZGRIR_ALV", IF(LEFT(Test!A317,1)="7", "AS " &amp; Test!A317, "AS " &amp; IF(Test!B317="",SUBSTITUTE(MID(Test!A317,FIND(",",Test!A317)+1,FIND(",",Test!A317,FIND(",",Test!A317)+1)-FIND(",",Test!A317)-1),"Cube ",""),LEFT(Test!B317,FIND(",",Test!B317)-1)))))</f>
        <v/>
      </c>
      <c r="B317" t="str">
        <f>IF(ISNUMBER(SEARCH("Query", Test!A317)), MID(Test!A317,FIND(",", Test!A317,FIND(",", Test!A317,FIND(",", Test!A317)+1)+1)+1, FIND(",", Test!A317,FIND(",", Test!A317,FIND(",", Test!A317,FIND(",", Test!A317)+1)+1)+1)-FIND(",", Test!A317,FIND(",", Test!A317,FIND(",", Test!A317)+1)+1)-1), IF(Test!B317&lt;&gt;"",MID(Test!B317,FIND(",",Test!B317)+1,FIND(",",Test!B317,FIND(",",Test!B317)+1)-FIND(",",Test!B317)-1),IF(Test!A317&lt;&gt;"",MID(Test!A317,FIND(",",Test!A317,FIND(",",Test!A317)+1)+1,FIND(",",Test!A317,FIND(",",Test!A317,FIND(",",Test!A317)+1)+1)-FIND(",",Test!A317,FIND(",",Test!A317)+1)-1),"")))</f>
        <v/>
      </c>
      <c r="C317" t="str">
        <f>IF(ISNUMBER(FIND("Query",Test!A317)),RIGHT(Test!A317,LEN(Test!A317)-FIND(",",Test!A317,FIND(",",Test!A317,FIND(",",Test!A317,FIND(",",Test!A317)+1)+1)+1)),IF(Test!B317&lt;&gt;"",RIGHT(Test!B317,LEN(Test!B317)-FIND(",",Test!B317,FIND(",",Test!B317)+1)),IF(Test!A317&lt;&gt;"",MID(Test!A317,FIND(",",Test!A317,FIND(",",Test!A317,FIND(",",Test!A317)+1)+1)+1,LEN(Test!A317)-FIND(",",Test!A317,FIND(",",Test!A317,FIND(",",Test!A317)+1)+1)),""))) &amp; IF(Test!C317&lt;&gt;"", " " &amp; SUBSTITUTE(Test!C317,"-",""), "")</f>
        <v/>
      </c>
    </row>
    <row r="318" spans="1:3" x14ac:dyDescent="0.25">
      <c r="A318" t="str">
        <f>IF(Test!A318="", "", IF(ISNUMBER(FIND("Query",Test!A318)), "AS Query ZMMIMR91 , ZGRIR_ALV", IF(LEFT(Test!A318,1)="7", "AS " &amp; Test!A318, "AS " &amp; IF(Test!B318="",SUBSTITUTE(MID(Test!A318,FIND(",",Test!A318)+1,FIND(",",Test!A318,FIND(",",Test!A318)+1)-FIND(",",Test!A318)-1),"Cube ",""),LEFT(Test!B318,FIND(",",Test!B318)-1)))))</f>
        <v/>
      </c>
      <c r="B318" t="str">
        <f>IF(ISNUMBER(SEARCH("Query", Test!A318)), MID(Test!A318,FIND(",", Test!A318,FIND(",", Test!A318,FIND(",", Test!A318)+1)+1)+1, FIND(",", Test!A318,FIND(",", Test!A318,FIND(",", Test!A318,FIND(",", Test!A318)+1)+1)+1)-FIND(",", Test!A318,FIND(",", Test!A318,FIND(",", Test!A318)+1)+1)-1), IF(Test!B318&lt;&gt;"",MID(Test!B318,FIND(",",Test!B318)+1,FIND(",",Test!B318,FIND(",",Test!B318)+1)-FIND(",",Test!B318)-1),IF(Test!A318&lt;&gt;"",MID(Test!A318,FIND(",",Test!A318,FIND(",",Test!A318)+1)+1,FIND(",",Test!A318,FIND(",",Test!A318,FIND(",",Test!A318)+1)+1)-FIND(",",Test!A318,FIND(",",Test!A318)+1)-1),"")))</f>
        <v/>
      </c>
      <c r="C318" t="str">
        <f>IF(ISNUMBER(FIND("Query",Test!A318)),RIGHT(Test!A318,LEN(Test!A318)-FIND(",",Test!A318,FIND(",",Test!A318,FIND(",",Test!A318,FIND(",",Test!A318)+1)+1)+1)),IF(Test!B318&lt;&gt;"",RIGHT(Test!B318,LEN(Test!B318)-FIND(",",Test!B318,FIND(",",Test!B318)+1)),IF(Test!A318&lt;&gt;"",MID(Test!A318,FIND(",",Test!A318,FIND(",",Test!A318,FIND(",",Test!A318)+1)+1)+1,LEN(Test!A318)-FIND(",",Test!A318,FIND(",",Test!A318,FIND(",",Test!A318)+1)+1)),""))) &amp; IF(Test!C318&lt;&gt;"", " " &amp; SUBSTITUTE(Test!C318,"-",""), "")</f>
        <v/>
      </c>
    </row>
    <row r="319" spans="1:3" x14ac:dyDescent="0.25">
      <c r="A319" t="str">
        <f>IF(Test!A319="", "", IF(ISNUMBER(FIND("Query",Test!A319)), "AS Query ZMMIMR91 , ZGRIR_ALV", IF(LEFT(Test!A319,1)="7", "AS " &amp; Test!A319, "AS " &amp; IF(Test!B319="",SUBSTITUTE(MID(Test!A319,FIND(",",Test!A319)+1,FIND(",",Test!A319,FIND(",",Test!A319)+1)-FIND(",",Test!A319)-1),"Cube ",""),LEFT(Test!B319,FIND(",",Test!B319)-1)))))</f>
        <v/>
      </c>
      <c r="B319" t="str">
        <f>IF(ISNUMBER(SEARCH("Query", Test!A319)), MID(Test!A319,FIND(",", Test!A319,FIND(",", Test!A319,FIND(",", Test!A319)+1)+1)+1, FIND(",", Test!A319,FIND(",", Test!A319,FIND(",", Test!A319,FIND(",", Test!A319)+1)+1)+1)-FIND(",", Test!A319,FIND(",", Test!A319,FIND(",", Test!A319)+1)+1)-1), IF(Test!B319&lt;&gt;"",MID(Test!B319,FIND(",",Test!B319)+1,FIND(",",Test!B319,FIND(",",Test!B319)+1)-FIND(",",Test!B319)-1),IF(Test!A319&lt;&gt;"",MID(Test!A319,FIND(",",Test!A319,FIND(",",Test!A319)+1)+1,FIND(",",Test!A319,FIND(",",Test!A319,FIND(",",Test!A319)+1)+1)-FIND(",",Test!A319,FIND(",",Test!A319)+1)-1),"")))</f>
        <v/>
      </c>
      <c r="C319" t="str">
        <f>IF(ISNUMBER(FIND("Query",Test!A319)),RIGHT(Test!A319,LEN(Test!A319)-FIND(",",Test!A319,FIND(",",Test!A319,FIND(",",Test!A319,FIND(",",Test!A319)+1)+1)+1)),IF(Test!B319&lt;&gt;"",RIGHT(Test!B319,LEN(Test!B319)-FIND(",",Test!B319,FIND(",",Test!B319)+1)),IF(Test!A319&lt;&gt;"",MID(Test!A319,FIND(",",Test!A319,FIND(",",Test!A319,FIND(",",Test!A319)+1)+1)+1,LEN(Test!A319)-FIND(",",Test!A319,FIND(",",Test!A319,FIND(",",Test!A319)+1)+1)),""))) &amp; IF(Test!C319&lt;&gt;"", " " &amp; SUBSTITUTE(Test!C319,"-",""), "")</f>
        <v/>
      </c>
    </row>
    <row r="320" spans="1:3" x14ac:dyDescent="0.25">
      <c r="A320" t="str">
        <f>IF(Test!A320="", "", IF(ISNUMBER(FIND("Query",Test!A320)), "AS Query ZMMIMR91 , ZGRIR_ALV", IF(LEFT(Test!A320,1)="7", "AS " &amp; Test!A320, "AS " &amp; IF(Test!B320="",SUBSTITUTE(MID(Test!A320,FIND(",",Test!A320)+1,FIND(",",Test!A320,FIND(",",Test!A320)+1)-FIND(",",Test!A320)-1),"Cube ",""),LEFT(Test!B320,FIND(",",Test!B320)-1)))))</f>
        <v/>
      </c>
      <c r="B320" t="str">
        <f>IF(ISNUMBER(SEARCH("Query", Test!A320)), MID(Test!A320,FIND(",", Test!A320,FIND(",", Test!A320,FIND(",", Test!A320)+1)+1)+1, FIND(",", Test!A320,FIND(",", Test!A320,FIND(",", Test!A320,FIND(",", Test!A320)+1)+1)+1)-FIND(",", Test!A320,FIND(",", Test!A320,FIND(",", Test!A320)+1)+1)-1), IF(Test!B320&lt;&gt;"",MID(Test!B320,FIND(",",Test!B320)+1,FIND(",",Test!B320,FIND(",",Test!B320)+1)-FIND(",",Test!B320)-1),IF(Test!A320&lt;&gt;"",MID(Test!A320,FIND(",",Test!A320,FIND(",",Test!A320)+1)+1,FIND(",",Test!A320,FIND(",",Test!A320,FIND(",",Test!A320)+1)+1)-FIND(",",Test!A320,FIND(",",Test!A320)+1)-1),"")))</f>
        <v/>
      </c>
      <c r="C320" t="str">
        <f>IF(ISNUMBER(FIND("Query",Test!A320)),RIGHT(Test!A320,LEN(Test!A320)-FIND(",",Test!A320,FIND(",",Test!A320,FIND(",",Test!A320,FIND(",",Test!A320)+1)+1)+1)),IF(Test!B320&lt;&gt;"",RIGHT(Test!B320,LEN(Test!B320)-FIND(",",Test!B320,FIND(",",Test!B320)+1)),IF(Test!A320&lt;&gt;"",MID(Test!A320,FIND(",",Test!A320,FIND(",",Test!A320,FIND(",",Test!A320)+1)+1)+1,LEN(Test!A320)-FIND(",",Test!A320,FIND(",",Test!A320,FIND(",",Test!A320)+1)+1)),""))) &amp; IF(Test!C320&lt;&gt;"", " " &amp; SUBSTITUTE(Test!C320,"-",""), "")</f>
        <v/>
      </c>
    </row>
    <row r="321" spans="1:3" x14ac:dyDescent="0.25">
      <c r="A321" t="str">
        <f>IF(Test!A321="", "", IF(ISNUMBER(FIND("Query",Test!A321)), "AS Query ZMMIMR91 , ZGRIR_ALV", IF(LEFT(Test!A321,1)="7", "AS " &amp; Test!A321, "AS " &amp; IF(Test!B321="",SUBSTITUTE(MID(Test!A321,FIND(",",Test!A321)+1,FIND(",",Test!A321,FIND(",",Test!A321)+1)-FIND(",",Test!A321)-1),"Cube ",""),LEFT(Test!B321,FIND(",",Test!B321)-1)))))</f>
        <v/>
      </c>
      <c r="B321" t="str">
        <f>IF(ISNUMBER(SEARCH("Query", Test!A321)), MID(Test!A321,FIND(",", Test!A321,FIND(",", Test!A321,FIND(",", Test!A321)+1)+1)+1, FIND(",", Test!A321,FIND(",", Test!A321,FIND(",", Test!A321,FIND(",", Test!A321)+1)+1)+1)-FIND(",", Test!A321,FIND(",", Test!A321,FIND(",", Test!A321)+1)+1)-1), IF(Test!B321&lt;&gt;"",MID(Test!B321,FIND(",",Test!B321)+1,FIND(",",Test!B321,FIND(",",Test!B321)+1)-FIND(",",Test!B321)-1),IF(Test!A321&lt;&gt;"",MID(Test!A321,FIND(",",Test!A321,FIND(",",Test!A321)+1)+1,FIND(",",Test!A321,FIND(",",Test!A321,FIND(",",Test!A321)+1)+1)-FIND(",",Test!A321,FIND(",",Test!A321)+1)-1),"")))</f>
        <v/>
      </c>
      <c r="C321" t="str">
        <f>IF(ISNUMBER(FIND("Query",Test!A321)),RIGHT(Test!A321,LEN(Test!A321)-FIND(",",Test!A321,FIND(",",Test!A321,FIND(",",Test!A321,FIND(",",Test!A321)+1)+1)+1)),IF(Test!B321&lt;&gt;"",RIGHT(Test!B321,LEN(Test!B321)-FIND(",",Test!B321,FIND(",",Test!B321)+1)),IF(Test!A321&lt;&gt;"",MID(Test!A321,FIND(",",Test!A321,FIND(",",Test!A321,FIND(",",Test!A321)+1)+1)+1,LEN(Test!A321)-FIND(",",Test!A321,FIND(",",Test!A321,FIND(",",Test!A321)+1)+1)),""))) &amp; IF(Test!C321&lt;&gt;"", " " &amp; SUBSTITUTE(Test!C321,"-",""), "")</f>
        <v/>
      </c>
    </row>
    <row r="322" spans="1:3" x14ac:dyDescent="0.25">
      <c r="A322" t="str">
        <f>IF(Test!A322="", "", IF(ISNUMBER(FIND("Query",Test!A322)), "AS Query ZMMIMR91 , ZGRIR_ALV", IF(LEFT(Test!A322,1)="7", "AS " &amp; Test!A322, "AS " &amp; IF(Test!B322="",SUBSTITUTE(MID(Test!A322,FIND(",",Test!A322)+1,FIND(",",Test!A322,FIND(",",Test!A322)+1)-FIND(",",Test!A322)-1),"Cube ",""),LEFT(Test!B322,FIND(",",Test!B322)-1)))))</f>
        <v/>
      </c>
      <c r="B322" t="str">
        <f>IF(ISNUMBER(SEARCH("Query", Test!A322)), MID(Test!A322,FIND(",", Test!A322,FIND(",", Test!A322,FIND(",", Test!A322)+1)+1)+1, FIND(",", Test!A322,FIND(",", Test!A322,FIND(",", Test!A322,FIND(",", Test!A322)+1)+1)+1)-FIND(",", Test!A322,FIND(",", Test!A322,FIND(",", Test!A322)+1)+1)-1), IF(Test!B322&lt;&gt;"",MID(Test!B322,FIND(",",Test!B322)+1,FIND(",",Test!B322,FIND(",",Test!B322)+1)-FIND(",",Test!B322)-1),IF(Test!A322&lt;&gt;"",MID(Test!A322,FIND(",",Test!A322,FIND(",",Test!A322)+1)+1,FIND(",",Test!A322,FIND(",",Test!A322,FIND(",",Test!A322)+1)+1)-FIND(",",Test!A322,FIND(",",Test!A322)+1)-1),"")))</f>
        <v/>
      </c>
      <c r="C322" t="str">
        <f>IF(ISNUMBER(FIND("Query",Test!A322)),RIGHT(Test!A322,LEN(Test!A322)-FIND(",",Test!A322,FIND(",",Test!A322,FIND(",",Test!A322,FIND(",",Test!A322)+1)+1)+1)),IF(Test!B322&lt;&gt;"",RIGHT(Test!B322,LEN(Test!B322)-FIND(",",Test!B322,FIND(",",Test!B322)+1)),IF(Test!A322&lt;&gt;"",MID(Test!A322,FIND(",",Test!A322,FIND(",",Test!A322,FIND(",",Test!A322)+1)+1)+1,LEN(Test!A322)-FIND(",",Test!A322,FIND(",",Test!A322,FIND(",",Test!A322)+1)+1)),""))) &amp; IF(Test!C322&lt;&gt;"", " " &amp; SUBSTITUTE(Test!C322,"-",""), "")</f>
        <v/>
      </c>
    </row>
    <row r="323" spans="1:3" x14ac:dyDescent="0.25">
      <c r="A323" t="str">
        <f>IF(Test!A323="", "", IF(ISNUMBER(FIND("Query",Test!A323)), "AS Query ZMMIMR91 , ZGRIR_ALV", IF(LEFT(Test!A323,1)="7", "AS " &amp; Test!A323, "AS " &amp; IF(Test!B323="",SUBSTITUTE(MID(Test!A323,FIND(",",Test!A323)+1,FIND(",",Test!A323,FIND(",",Test!A323)+1)-FIND(",",Test!A323)-1),"Cube ",""),LEFT(Test!B323,FIND(",",Test!B323)-1)))))</f>
        <v/>
      </c>
      <c r="B323" t="str">
        <f>IF(ISNUMBER(SEARCH("Query", Test!A323)), MID(Test!A323,FIND(",", Test!A323,FIND(",", Test!A323,FIND(",", Test!A323)+1)+1)+1, FIND(",", Test!A323,FIND(",", Test!A323,FIND(",", Test!A323,FIND(",", Test!A323)+1)+1)+1)-FIND(",", Test!A323,FIND(",", Test!A323,FIND(",", Test!A323)+1)+1)-1), IF(Test!B323&lt;&gt;"",MID(Test!B323,FIND(",",Test!B323)+1,FIND(",",Test!B323,FIND(",",Test!B323)+1)-FIND(",",Test!B323)-1),IF(Test!A323&lt;&gt;"",MID(Test!A323,FIND(",",Test!A323,FIND(",",Test!A323)+1)+1,FIND(",",Test!A323,FIND(",",Test!A323,FIND(",",Test!A323)+1)+1)-FIND(",",Test!A323,FIND(",",Test!A323)+1)-1),"")))</f>
        <v/>
      </c>
      <c r="C323" t="str">
        <f>IF(ISNUMBER(FIND("Query",Test!A323)),RIGHT(Test!A323,LEN(Test!A323)-FIND(",",Test!A323,FIND(",",Test!A323,FIND(",",Test!A323,FIND(",",Test!A323)+1)+1)+1)),IF(Test!B323&lt;&gt;"",RIGHT(Test!B323,LEN(Test!B323)-FIND(",",Test!B323,FIND(",",Test!B323)+1)),IF(Test!A323&lt;&gt;"",MID(Test!A323,FIND(",",Test!A323,FIND(",",Test!A323,FIND(",",Test!A323)+1)+1)+1,LEN(Test!A323)-FIND(",",Test!A323,FIND(",",Test!A323,FIND(",",Test!A323)+1)+1)),""))) &amp; IF(Test!C323&lt;&gt;"", " " &amp; SUBSTITUTE(Test!C323,"-",""), "")</f>
        <v/>
      </c>
    </row>
    <row r="324" spans="1:3" x14ac:dyDescent="0.25">
      <c r="A324" t="str">
        <f>IF(Test!A324="", "", IF(ISNUMBER(FIND("Query",Test!A324)), "AS Query ZMMIMR91 , ZGRIR_ALV", IF(LEFT(Test!A324,1)="7", "AS " &amp; Test!A324, "AS " &amp; IF(Test!B324="",SUBSTITUTE(MID(Test!A324,FIND(",",Test!A324)+1,FIND(",",Test!A324,FIND(",",Test!A324)+1)-FIND(",",Test!A324)-1),"Cube ",""),LEFT(Test!B324,FIND(",",Test!B324)-1)))))</f>
        <v/>
      </c>
      <c r="B324" t="str">
        <f>IF(ISNUMBER(SEARCH("Query", Test!A324)), MID(Test!A324,FIND(",", Test!A324,FIND(",", Test!A324,FIND(",", Test!A324)+1)+1)+1, FIND(",", Test!A324,FIND(",", Test!A324,FIND(",", Test!A324,FIND(",", Test!A324)+1)+1)+1)-FIND(",", Test!A324,FIND(",", Test!A324,FIND(",", Test!A324)+1)+1)-1), IF(Test!B324&lt;&gt;"",MID(Test!B324,FIND(",",Test!B324)+1,FIND(",",Test!B324,FIND(",",Test!B324)+1)-FIND(",",Test!B324)-1),IF(Test!A324&lt;&gt;"",MID(Test!A324,FIND(",",Test!A324,FIND(",",Test!A324)+1)+1,FIND(",",Test!A324,FIND(",",Test!A324,FIND(",",Test!A324)+1)+1)-FIND(",",Test!A324,FIND(",",Test!A324)+1)-1),"")))</f>
        <v/>
      </c>
      <c r="C324" t="str">
        <f>IF(ISNUMBER(FIND("Query",Test!A324)),RIGHT(Test!A324,LEN(Test!A324)-FIND(",",Test!A324,FIND(",",Test!A324,FIND(",",Test!A324,FIND(",",Test!A324)+1)+1)+1)),IF(Test!B324&lt;&gt;"",RIGHT(Test!B324,LEN(Test!B324)-FIND(",",Test!B324,FIND(",",Test!B324)+1)),IF(Test!A324&lt;&gt;"",MID(Test!A324,FIND(",",Test!A324,FIND(",",Test!A324,FIND(",",Test!A324)+1)+1)+1,LEN(Test!A324)-FIND(",",Test!A324,FIND(",",Test!A324,FIND(",",Test!A324)+1)+1)),""))) &amp; IF(Test!C324&lt;&gt;"", " " &amp; SUBSTITUTE(Test!C324,"-",""), "")</f>
        <v/>
      </c>
    </row>
    <row r="325" spans="1:3" x14ac:dyDescent="0.25">
      <c r="A325" t="str">
        <f>IF(Test!A325="", "", IF(ISNUMBER(FIND("Query",Test!A325)), "AS Query ZMMIMR91 , ZGRIR_ALV", IF(LEFT(Test!A325,1)="7", "AS " &amp; Test!A325, "AS " &amp; IF(Test!B325="",SUBSTITUTE(MID(Test!A325,FIND(",",Test!A325)+1,FIND(",",Test!A325,FIND(",",Test!A325)+1)-FIND(",",Test!A325)-1),"Cube ",""),LEFT(Test!B325,FIND(",",Test!B325)-1)))))</f>
        <v/>
      </c>
      <c r="B325" t="str">
        <f>IF(ISNUMBER(SEARCH("Query", Test!A325)), MID(Test!A325,FIND(",", Test!A325,FIND(",", Test!A325,FIND(",", Test!A325)+1)+1)+1, FIND(",", Test!A325,FIND(",", Test!A325,FIND(",", Test!A325,FIND(",", Test!A325)+1)+1)+1)-FIND(",", Test!A325,FIND(",", Test!A325,FIND(",", Test!A325)+1)+1)-1), IF(Test!B325&lt;&gt;"",MID(Test!B325,FIND(",",Test!B325)+1,FIND(",",Test!B325,FIND(",",Test!B325)+1)-FIND(",",Test!B325)-1),IF(Test!A325&lt;&gt;"",MID(Test!A325,FIND(",",Test!A325,FIND(",",Test!A325)+1)+1,FIND(",",Test!A325,FIND(",",Test!A325,FIND(",",Test!A325)+1)+1)-FIND(",",Test!A325,FIND(",",Test!A325)+1)-1),"")))</f>
        <v/>
      </c>
      <c r="C325" t="str">
        <f>IF(ISNUMBER(FIND("Query",Test!A325)),RIGHT(Test!A325,LEN(Test!A325)-FIND(",",Test!A325,FIND(",",Test!A325,FIND(",",Test!A325,FIND(",",Test!A325)+1)+1)+1)),IF(Test!B325&lt;&gt;"",RIGHT(Test!B325,LEN(Test!B325)-FIND(",",Test!B325,FIND(",",Test!B325)+1)),IF(Test!A325&lt;&gt;"",MID(Test!A325,FIND(",",Test!A325,FIND(",",Test!A325,FIND(",",Test!A325)+1)+1)+1,LEN(Test!A325)-FIND(",",Test!A325,FIND(",",Test!A325,FIND(",",Test!A325)+1)+1)),""))) &amp; IF(Test!C325&lt;&gt;"", " " &amp; SUBSTITUTE(Test!C325,"-",""), "")</f>
        <v/>
      </c>
    </row>
    <row r="326" spans="1:3" x14ac:dyDescent="0.25">
      <c r="A326" t="str">
        <f>IF(Test!A326="", "", IF(ISNUMBER(FIND("Query",Test!A326)), "AS Query ZMMIMR91 , ZGRIR_ALV", IF(LEFT(Test!A326,1)="7", "AS " &amp; Test!A326, "AS " &amp; IF(Test!B326="",SUBSTITUTE(MID(Test!A326,FIND(",",Test!A326)+1,FIND(",",Test!A326,FIND(",",Test!A326)+1)-FIND(",",Test!A326)-1),"Cube ",""),LEFT(Test!B326,FIND(",",Test!B326)-1)))))</f>
        <v/>
      </c>
      <c r="B326" t="str">
        <f>IF(ISNUMBER(SEARCH("Query", Test!A326)), MID(Test!A326,FIND(",", Test!A326,FIND(",", Test!A326,FIND(",", Test!A326)+1)+1)+1, FIND(",", Test!A326,FIND(",", Test!A326,FIND(",", Test!A326,FIND(",", Test!A326)+1)+1)+1)-FIND(",", Test!A326,FIND(",", Test!A326,FIND(",", Test!A326)+1)+1)-1), IF(Test!B326&lt;&gt;"",MID(Test!B326,FIND(",",Test!B326)+1,FIND(",",Test!B326,FIND(",",Test!B326)+1)-FIND(",",Test!B326)-1),IF(Test!A326&lt;&gt;"",MID(Test!A326,FIND(",",Test!A326,FIND(",",Test!A326)+1)+1,FIND(",",Test!A326,FIND(",",Test!A326,FIND(",",Test!A326)+1)+1)-FIND(",",Test!A326,FIND(",",Test!A326)+1)-1),"")))</f>
        <v/>
      </c>
      <c r="C326" t="str">
        <f>IF(ISNUMBER(FIND("Query",Test!A326)),RIGHT(Test!A326,LEN(Test!A326)-FIND(",",Test!A326,FIND(",",Test!A326,FIND(",",Test!A326,FIND(",",Test!A326)+1)+1)+1)),IF(Test!B326&lt;&gt;"",RIGHT(Test!B326,LEN(Test!B326)-FIND(",",Test!B326,FIND(",",Test!B326)+1)),IF(Test!A326&lt;&gt;"",MID(Test!A326,FIND(",",Test!A326,FIND(",",Test!A326,FIND(",",Test!A326)+1)+1)+1,LEN(Test!A326)-FIND(",",Test!A326,FIND(",",Test!A326,FIND(",",Test!A326)+1)+1)),""))) &amp; IF(Test!C326&lt;&gt;"", " " &amp; SUBSTITUTE(Test!C326,"-",""), "")</f>
        <v/>
      </c>
    </row>
    <row r="327" spans="1:3" x14ac:dyDescent="0.25">
      <c r="A327" t="str">
        <f>IF(Test!A327="", "", IF(ISNUMBER(FIND("Query",Test!A327)), "AS Query ZMMIMR91 , ZGRIR_ALV", IF(LEFT(Test!A327,1)="7", "AS " &amp; Test!A327, "AS " &amp; IF(Test!B327="",SUBSTITUTE(MID(Test!A327,FIND(",",Test!A327)+1,FIND(",",Test!A327,FIND(",",Test!A327)+1)-FIND(",",Test!A327)-1),"Cube ",""),LEFT(Test!B327,FIND(",",Test!B327)-1)))))</f>
        <v/>
      </c>
      <c r="B327" t="str">
        <f>IF(ISNUMBER(SEARCH("Query", Test!A327)), MID(Test!A327,FIND(",", Test!A327,FIND(",", Test!A327,FIND(",", Test!A327)+1)+1)+1, FIND(",", Test!A327,FIND(",", Test!A327,FIND(",", Test!A327,FIND(",", Test!A327)+1)+1)+1)-FIND(",", Test!A327,FIND(",", Test!A327,FIND(",", Test!A327)+1)+1)-1), IF(Test!B327&lt;&gt;"",MID(Test!B327,FIND(",",Test!B327)+1,FIND(",",Test!B327,FIND(",",Test!B327)+1)-FIND(",",Test!B327)-1),IF(Test!A327&lt;&gt;"",MID(Test!A327,FIND(",",Test!A327,FIND(",",Test!A327)+1)+1,FIND(",",Test!A327,FIND(",",Test!A327,FIND(",",Test!A327)+1)+1)-FIND(",",Test!A327,FIND(",",Test!A327)+1)-1),"")))</f>
        <v/>
      </c>
      <c r="C327" t="str">
        <f>IF(ISNUMBER(FIND("Query",Test!A327)),RIGHT(Test!A327,LEN(Test!A327)-FIND(",",Test!A327,FIND(",",Test!A327,FIND(",",Test!A327,FIND(",",Test!A327)+1)+1)+1)),IF(Test!B327&lt;&gt;"",RIGHT(Test!B327,LEN(Test!B327)-FIND(",",Test!B327,FIND(",",Test!B327)+1)),IF(Test!A327&lt;&gt;"",MID(Test!A327,FIND(",",Test!A327,FIND(",",Test!A327,FIND(",",Test!A327)+1)+1)+1,LEN(Test!A327)-FIND(",",Test!A327,FIND(",",Test!A327,FIND(",",Test!A327)+1)+1)),""))) &amp; IF(Test!C327&lt;&gt;"", " " &amp; SUBSTITUTE(Test!C327,"-",""), "")</f>
        <v/>
      </c>
    </row>
    <row r="328" spans="1:3" x14ac:dyDescent="0.25">
      <c r="A328" t="str">
        <f>IF(Test!A328="", "", IF(ISNUMBER(FIND("Query",Test!A328)), "AS Query ZMMIMR91 , ZGRIR_ALV", IF(LEFT(Test!A328,1)="7", "AS " &amp; Test!A328, "AS " &amp; IF(Test!B328="",SUBSTITUTE(MID(Test!A328,FIND(",",Test!A328)+1,FIND(",",Test!A328,FIND(",",Test!A328)+1)-FIND(",",Test!A328)-1),"Cube ",""),LEFT(Test!B328,FIND(",",Test!B328)-1)))))</f>
        <v/>
      </c>
      <c r="B328" t="str">
        <f>IF(ISNUMBER(SEARCH("Query", Test!A328)), MID(Test!A328,FIND(",", Test!A328,FIND(",", Test!A328,FIND(",", Test!A328)+1)+1)+1, FIND(",", Test!A328,FIND(",", Test!A328,FIND(",", Test!A328,FIND(",", Test!A328)+1)+1)+1)-FIND(",", Test!A328,FIND(",", Test!A328,FIND(",", Test!A328)+1)+1)-1), IF(Test!B328&lt;&gt;"",MID(Test!B328,FIND(",",Test!B328)+1,FIND(",",Test!B328,FIND(",",Test!B328)+1)-FIND(",",Test!B328)-1),IF(Test!A328&lt;&gt;"",MID(Test!A328,FIND(",",Test!A328,FIND(",",Test!A328)+1)+1,FIND(",",Test!A328,FIND(",",Test!A328,FIND(",",Test!A328)+1)+1)-FIND(",",Test!A328,FIND(",",Test!A328)+1)-1),"")))</f>
        <v/>
      </c>
      <c r="C328" t="str">
        <f>IF(ISNUMBER(FIND("Query",Test!A328)),RIGHT(Test!A328,LEN(Test!A328)-FIND(",",Test!A328,FIND(",",Test!A328,FIND(",",Test!A328,FIND(",",Test!A328)+1)+1)+1)),IF(Test!B328&lt;&gt;"",RIGHT(Test!B328,LEN(Test!B328)-FIND(",",Test!B328,FIND(",",Test!B328)+1)),IF(Test!A328&lt;&gt;"",MID(Test!A328,FIND(",",Test!A328,FIND(",",Test!A328,FIND(",",Test!A328)+1)+1)+1,LEN(Test!A328)-FIND(",",Test!A328,FIND(",",Test!A328,FIND(",",Test!A328)+1)+1)),""))) &amp; IF(Test!C328&lt;&gt;"", " " &amp; SUBSTITUTE(Test!C328,"-",""), "")</f>
        <v/>
      </c>
    </row>
    <row r="329" spans="1:3" x14ac:dyDescent="0.25">
      <c r="A329" t="str">
        <f>IF(Test!A329="", "", IF(ISNUMBER(FIND("Query",Test!A329)), "AS Query ZMMIMR91 , ZGRIR_ALV", IF(LEFT(Test!A329,1)="7", "AS " &amp; Test!A329, "AS " &amp; IF(Test!B329="",SUBSTITUTE(MID(Test!A329,FIND(",",Test!A329)+1,FIND(",",Test!A329,FIND(",",Test!A329)+1)-FIND(",",Test!A329)-1),"Cube ",""),LEFT(Test!B329,FIND(",",Test!B329)-1)))))</f>
        <v/>
      </c>
      <c r="B329" t="str">
        <f>IF(ISNUMBER(SEARCH("Query", Test!A329)), MID(Test!A329,FIND(",", Test!A329,FIND(",", Test!A329,FIND(",", Test!A329)+1)+1)+1, FIND(",", Test!A329,FIND(",", Test!A329,FIND(",", Test!A329,FIND(",", Test!A329)+1)+1)+1)-FIND(",", Test!A329,FIND(",", Test!A329,FIND(",", Test!A329)+1)+1)-1), IF(Test!B329&lt;&gt;"",MID(Test!B329,FIND(",",Test!B329)+1,FIND(",",Test!B329,FIND(",",Test!B329)+1)-FIND(",",Test!B329)-1),IF(Test!A329&lt;&gt;"",MID(Test!A329,FIND(",",Test!A329,FIND(",",Test!A329)+1)+1,FIND(",",Test!A329,FIND(",",Test!A329,FIND(",",Test!A329)+1)+1)-FIND(",",Test!A329,FIND(",",Test!A329)+1)-1),"")))</f>
        <v/>
      </c>
      <c r="C329" t="str">
        <f>IF(ISNUMBER(FIND("Query",Test!A329)),RIGHT(Test!A329,LEN(Test!A329)-FIND(",",Test!A329,FIND(",",Test!A329,FIND(",",Test!A329,FIND(",",Test!A329)+1)+1)+1)),IF(Test!B329&lt;&gt;"",RIGHT(Test!B329,LEN(Test!B329)-FIND(",",Test!B329,FIND(",",Test!B329)+1)),IF(Test!A329&lt;&gt;"",MID(Test!A329,FIND(",",Test!A329,FIND(",",Test!A329,FIND(",",Test!A329)+1)+1)+1,LEN(Test!A329)-FIND(",",Test!A329,FIND(",",Test!A329,FIND(",",Test!A329)+1)+1)),""))) &amp; IF(Test!C329&lt;&gt;"", " " &amp; SUBSTITUTE(Test!C329,"-",""), "")</f>
        <v/>
      </c>
    </row>
    <row r="330" spans="1:3" x14ac:dyDescent="0.25">
      <c r="A330" t="str">
        <f>IF(Test!A330="", "", IF(ISNUMBER(FIND("Query",Test!A330)), "AS Query ZMMIMR91 , ZGRIR_ALV", IF(LEFT(Test!A330,1)="7", "AS " &amp; Test!A330, "AS " &amp; IF(Test!B330="",SUBSTITUTE(MID(Test!A330,FIND(",",Test!A330)+1,FIND(",",Test!A330,FIND(",",Test!A330)+1)-FIND(",",Test!A330)-1),"Cube ",""),LEFT(Test!B330,FIND(",",Test!B330)-1)))))</f>
        <v/>
      </c>
      <c r="B330" t="str">
        <f>IF(ISNUMBER(SEARCH("Query", Test!A330)), MID(Test!A330,FIND(",", Test!A330,FIND(",", Test!A330,FIND(",", Test!A330)+1)+1)+1, FIND(",", Test!A330,FIND(",", Test!A330,FIND(",", Test!A330,FIND(",", Test!A330)+1)+1)+1)-FIND(",", Test!A330,FIND(",", Test!A330,FIND(",", Test!A330)+1)+1)-1), IF(Test!B330&lt;&gt;"",MID(Test!B330,FIND(",",Test!B330)+1,FIND(",",Test!B330,FIND(",",Test!B330)+1)-FIND(",",Test!B330)-1),IF(Test!A330&lt;&gt;"",MID(Test!A330,FIND(",",Test!A330,FIND(",",Test!A330)+1)+1,FIND(",",Test!A330,FIND(",",Test!A330,FIND(",",Test!A330)+1)+1)-FIND(",",Test!A330,FIND(",",Test!A330)+1)-1),"")))</f>
        <v/>
      </c>
      <c r="C330" t="str">
        <f>IF(ISNUMBER(FIND("Query",Test!A330)),RIGHT(Test!A330,LEN(Test!A330)-FIND(",",Test!A330,FIND(",",Test!A330,FIND(",",Test!A330,FIND(",",Test!A330)+1)+1)+1)),IF(Test!B330&lt;&gt;"",RIGHT(Test!B330,LEN(Test!B330)-FIND(",",Test!B330,FIND(",",Test!B330)+1)),IF(Test!A330&lt;&gt;"",MID(Test!A330,FIND(",",Test!A330,FIND(",",Test!A330,FIND(",",Test!A330)+1)+1)+1,LEN(Test!A330)-FIND(",",Test!A330,FIND(",",Test!A330,FIND(",",Test!A330)+1)+1)),""))) &amp; IF(Test!C330&lt;&gt;"", " " &amp; SUBSTITUTE(Test!C330,"-",""), "")</f>
        <v/>
      </c>
    </row>
    <row r="331" spans="1:3" x14ac:dyDescent="0.25">
      <c r="A331" t="str">
        <f>IF(Test!A331="", "", IF(ISNUMBER(FIND("Query",Test!A331)), "AS Query ZMMIMR91 , ZGRIR_ALV", IF(LEFT(Test!A331,1)="7", "AS " &amp; Test!A331, "AS " &amp; IF(Test!B331="",SUBSTITUTE(MID(Test!A331,FIND(",",Test!A331)+1,FIND(",",Test!A331,FIND(",",Test!A331)+1)-FIND(",",Test!A331)-1),"Cube ",""),LEFT(Test!B331,FIND(",",Test!B331)-1)))))</f>
        <v/>
      </c>
      <c r="B331" t="str">
        <f>IF(ISNUMBER(SEARCH("Query", Test!A331)), MID(Test!A331,FIND(",", Test!A331,FIND(",", Test!A331,FIND(",", Test!A331)+1)+1)+1, FIND(",", Test!A331,FIND(",", Test!A331,FIND(",", Test!A331,FIND(",", Test!A331)+1)+1)+1)-FIND(",", Test!A331,FIND(",", Test!A331,FIND(",", Test!A331)+1)+1)-1), IF(Test!B331&lt;&gt;"",MID(Test!B331,FIND(",",Test!B331)+1,FIND(",",Test!B331,FIND(",",Test!B331)+1)-FIND(",",Test!B331)-1),IF(Test!A331&lt;&gt;"",MID(Test!A331,FIND(",",Test!A331,FIND(",",Test!A331)+1)+1,FIND(",",Test!A331,FIND(",",Test!A331,FIND(",",Test!A331)+1)+1)-FIND(",",Test!A331,FIND(",",Test!A331)+1)-1),"")))</f>
        <v/>
      </c>
      <c r="C331" t="str">
        <f>IF(ISNUMBER(FIND("Query",Test!A331)),RIGHT(Test!A331,LEN(Test!A331)-FIND(",",Test!A331,FIND(",",Test!A331,FIND(",",Test!A331,FIND(",",Test!A331)+1)+1)+1)),IF(Test!B331&lt;&gt;"",RIGHT(Test!B331,LEN(Test!B331)-FIND(",",Test!B331,FIND(",",Test!B331)+1)),IF(Test!A331&lt;&gt;"",MID(Test!A331,FIND(",",Test!A331,FIND(",",Test!A331,FIND(",",Test!A331)+1)+1)+1,LEN(Test!A331)-FIND(",",Test!A331,FIND(",",Test!A331,FIND(",",Test!A331)+1)+1)),""))) &amp; IF(Test!C331&lt;&gt;"", " " &amp; SUBSTITUTE(Test!C331,"-",""), "")</f>
        <v/>
      </c>
    </row>
    <row r="332" spans="1:3" x14ac:dyDescent="0.25">
      <c r="A332" t="str">
        <f>IF(Test!A332="", "", IF(ISNUMBER(FIND("Query",Test!A332)), "AS Query ZMMIMR91 , ZGRIR_ALV", IF(LEFT(Test!A332,1)="7", "AS " &amp; Test!A332, "AS " &amp; IF(Test!B332="",SUBSTITUTE(MID(Test!A332,FIND(",",Test!A332)+1,FIND(",",Test!A332,FIND(",",Test!A332)+1)-FIND(",",Test!A332)-1),"Cube ",""),LEFT(Test!B332,FIND(",",Test!B332)-1)))))</f>
        <v/>
      </c>
      <c r="B332" t="str">
        <f>IF(ISNUMBER(SEARCH("Query", Test!A332)), MID(Test!A332,FIND(",", Test!A332,FIND(",", Test!A332,FIND(",", Test!A332)+1)+1)+1, FIND(",", Test!A332,FIND(",", Test!A332,FIND(",", Test!A332,FIND(",", Test!A332)+1)+1)+1)-FIND(",", Test!A332,FIND(",", Test!A332,FIND(",", Test!A332)+1)+1)-1), IF(Test!B332&lt;&gt;"",MID(Test!B332,FIND(",",Test!B332)+1,FIND(",",Test!B332,FIND(",",Test!B332)+1)-FIND(",",Test!B332)-1),IF(Test!A332&lt;&gt;"",MID(Test!A332,FIND(",",Test!A332,FIND(",",Test!A332)+1)+1,FIND(",",Test!A332,FIND(",",Test!A332,FIND(",",Test!A332)+1)+1)-FIND(",",Test!A332,FIND(",",Test!A332)+1)-1),"")))</f>
        <v/>
      </c>
      <c r="C332" t="str">
        <f>IF(ISNUMBER(FIND("Query",Test!A332)),RIGHT(Test!A332,LEN(Test!A332)-FIND(",",Test!A332,FIND(",",Test!A332,FIND(",",Test!A332,FIND(",",Test!A332)+1)+1)+1)),IF(Test!B332&lt;&gt;"",RIGHT(Test!B332,LEN(Test!B332)-FIND(",",Test!B332,FIND(",",Test!B332)+1)),IF(Test!A332&lt;&gt;"",MID(Test!A332,FIND(",",Test!A332,FIND(",",Test!A332,FIND(",",Test!A332)+1)+1)+1,LEN(Test!A332)-FIND(",",Test!A332,FIND(",",Test!A332,FIND(",",Test!A332)+1)+1)),""))) &amp; IF(Test!C332&lt;&gt;"", " " &amp; SUBSTITUTE(Test!C332,"-",""), "")</f>
        <v/>
      </c>
    </row>
    <row r="333" spans="1:3" x14ac:dyDescent="0.25">
      <c r="A333" t="str">
        <f>IF(Test!A333="", "", IF(ISNUMBER(FIND("Query",Test!A333)), "AS Query ZMMIMR91 , ZGRIR_ALV", IF(LEFT(Test!A333,1)="7", "AS " &amp; Test!A333, "AS " &amp; IF(Test!B333="",SUBSTITUTE(MID(Test!A333,FIND(",",Test!A333)+1,FIND(",",Test!A333,FIND(",",Test!A333)+1)-FIND(",",Test!A333)-1),"Cube ",""),LEFT(Test!B333,FIND(",",Test!B333)-1)))))</f>
        <v/>
      </c>
      <c r="B333" t="str">
        <f>IF(ISNUMBER(SEARCH("Query", Test!A333)), MID(Test!A333,FIND(",", Test!A333,FIND(",", Test!A333,FIND(",", Test!A333)+1)+1)+1, FIND(",", Test!A333,FIND(",", Test!A333,FIND(",", Test!A333,FIND(",", Test!A333)+1)+1)+1)-FIND(",", Test!A333,FIND(",", Test!A333,FIND(",", Test!A333)+1)+1)-1), IF(Test!B333&lt;&gt;"",MID(Test!B333,FIND(",",Test!B333)+1,FIND(",",Test!B333,FIND(",",Test!B333)+1)-FIND(",",Test!B333)-1),IF(Test!A333&lt;&gt;"",MID(Test!A333,FIND(",",Test!A333,FIND(",",Test!A333)+1)+1,FIND(",",Test!A333,FIND(",",Test!A333,FIND(",",Test!A333)+1)+1)-FIND(",",Test!A333,FIND(",",Test!A333)+1)-1),"")))</f>
        <v/>
      </c>
      <c r="C333" t="str">
        <f>IF(ISNUMBER(FIND("Query",Test!A333)),RIGHT(Test!A333,LEN(Test!A333)-FIND(",",Test!A333,FIND(",",Test!A333,FIND(",",Test!A333,FIND(",",Test!A333)+1)+1)+1)),IF(Test!B333&lt;&gt;"",RIGHT(Test!B333,LEN(Test!B333)-FIND(",",Test!B333,FIND(",",Test!B333)+1)),IF(Test!A333&lt;&gt;"",MID(Test!A333,FIND(",",Test!A333,FIND(",",Test!A333,FIND(",",Test!A333)+1)+1)+1,LEN(Test!A333)-FIND(",",Test!A333,FIND(",",Test!A333,FIND(",",Test!A333)+1)+1)),""))) &amp; IF(Test!C333&lt;&gt;"", " " &amp; SUBSTITUTE(Test!C333,"-",""), "")</f>
        <v/>
      </c>
    </row>
    <row r="334" spans="1:3" x14ac:dyDescent="0.25">
      <c r="A334" t="str">
        <f>IF(Test!A334="", "", IF(ISNUMBER(FIND("Query",Test!A334)), "AS Query ZMMIMR91 , ZGRIR_ALV", IF(LEFT(Test!A334,1)="7", "AS " &amp; Test!A334, "AS " &amp; IF(Test!B334="",SUBSTITUTE(MID(Test!A334,FIND(",",Test!A334)+1,FIND(",",Test!A334,FIND(",",Test!A334)+1)-FIND(",",Test!A334)-1),"Cube ",""),LEFT(Test!B334,FIND(",",Test!B334)-1)))))</f>
        <v/>
      </c>
      <c r="B334" t="str">
        <f>IF(ISNUMBER(SEARCH("Query", Test!A334)), MID(Test!A334,FIND(",", Test!A334,FIND(",", Test!A334,FIND(",", Test!A334)+1)+1)+1, FIND(",", Test!A334,FIND(",", Test!A334,FIND(",", Test!A334,FIND(",", Test!A334)+1)+1)+1)-FIND(",", Test!A334,FIND(",", Test!A334,FIND(",", Test!A334)+1)+1)-1), IF(Test!B334&lt;&gt;"",MID(Test!B334,FIND(",",Test!B334)+1,FIND(",",Test!B334,FIND(",",Test!B334)+1)-FIND(",",Test!B334)-1),IF(Test!A334&lt;&gt;"",MID(Test!A334,FIND(",",Test!A334,FIND(",",Test!A334)+1)+1,FIND(",",Test!A334,FIND(",",Test!A334,FIND(",",Test!A334)+1)+1)-FIND(",",Test!A334,FIND(",",Test!A334)+1)-1),"")))</f>
        <v/>
      </c>
      <c r="C334" t="str">
        <f>IF(ISNUMBER(FIND("Query",Test!A334)),RIGHT(Test!A334,LEN(Test!A334)-FIND(",",Test!A334,FIND(",",Test!A334,FIND(",",Test!A334,FIND(",",Test!A334)+1)+1)+1)),IF(Test!B334&lt;&gt;"",RIGHT(Test!B334,LEN(Test!B334)-FIND(",",Test!B334,FIND(",",Test!B334)+1)),IF(Test!A334&lt;&gt;"",MID(Test!A334,FIND(",",Test!A334,FIND(",",Test!A334,FIND(",",Test!A334)+1)+1)+1,LEN(Test!A334)-FIND(",",Test!A334,FIND(",",Test!A334,FIND(",",Test!A334)+1)+1)),""))) &amp; IF(Test!C334&lt;&gt;"", " " &amp; SUBSTITUTE(Test!C334,"-",""), "")</f>
        <v/>
      </c>
    </row>
    <row r="335" spans="1:3" x14ac:dyDescent="0.25">
      <c r="A335" t="str">
        <f>IF(Test!A335="", "", IF(ISNUMBER(FIND("Query",Test!A335)), "AS Query ZMMIMR91 , ZGRIR_ALV", IF(LEFT(Test!A335,1)="7", "AS " &amp; Test!A335, "AS " &amp; IF(Test!B335="",SUBSTITUTE(MID(Test!A335,FIND(",",Test!A335)+1,FIND(",",Test!A335,FIND(",",Test!A335)+1)-FIND(",",Test!A335)-1),"Cube ",""),LEFT(Test!B335,FIND(",",Test!B335)-1)))))</f>
        <v/>
      </c>
      <c r="B335" t="str">
        <f>IF(ISNUMBER(SEARCH("Query", Test!A335)), MID(Test!A335,FIND(",", Test!A335,FIND(",", Test!A335,FIND(",", Test!A335)+1)+1)+1, FIND(",", Test!A335,FIND(",", Test!A335,FIND(",", Test!A335,FIND(",", Test!A335)+1)+1)+1)-FIND(",", Test!A335,FIND(",", Test!A335,FIND(",", Test!A335)+1)+1)-1), IF(Test!B335&lt;&gt;"",MID(Test!B335,FIND(",",Test!B335)+1,FIND(",",Test!B335,FIND(",",Test!B335)+1)-FIND(",",Test!B335)-1),IF(Test!A335&lt;&gt;"",MID(Test!A335,FIND(",",Test!A335,FIND(",",Test!A335)+1)+1,FIND(",",Test!A335,FIND(",",Test!A335,FIND(",",Test!A335)+1)+1)-FIND(",",Test!A335,FIND(",",Test!A335)+1)-1),"")))</f>
        <v/>
      </c>
      <c r="C335" t="str">
        <f>IF(ISNUMBER(FIND("Query",Test!A335)),RIGHT(Test!A335,LEN(Test!A335)-FIND(",",Test!A335,FIND(",",Test!A335,FIND(",",Test!A335,FIND(",",Test!A335)+1)+1)+1)),IF(Test!B335&lt;&gt;"",RIGHT(Test!B335,LEN(Test!B335)-FIND(",",Test!B335,FIND(",",Test!B335)+1)),IF(Test!A335&lt;&gt;"",MID(Test!A335,FIND(",",Test!A335,FIND(",",Test!A335,FIND(",",Test!A335)+1)+1)+1,LEN(Test!A335)-FIND(",",Test!A335,FIND(",",Test!A335,FIND(",",Test!A335)+1)+1)),""))) &amp; IF(Test!C335&lt;&gt;"", " " &amp; SUBSTITUTE(Test!C335,"-",""), "")</f>
        <v/>
      </c>
    </row>
    <row r="336" spans="1:3" x14ac:dyDescent="0.25">
      <c r="A336" t="str">
        <f>IF(Test!A336="", "", IF(ISNUMBER(FIND("Query",Test!A336)), "AS Query ZMMIMR91 , ZGRIR_ALV", IF(LEFT(Test!A336,1)="7", "AS " &amp; Test!A336, "AS " &amp; IF(Test!B336="",SUBSTITUTE(MID(Test!A336,FIND(",",Test!A336)+1,FIND(",",Test!A336,FIND(",",Test!A336)+1)-FIND(",",Test!A336)-1),"Cube ",""),LEFT(Test!B336,FIND(",",Test!B336)-1)))))</f>
        <v/>
      </c>
      <c r="B336" t="str">
        <f>IF(ISNUMBER(SEARCH("Query", Test!A336)), MID(Test!A336,FIND(",", Test!A336,FIND(",", Test!A336,FIND(",", Test!A336)+1)+1)+1, FIND(",", Test!A336,FIND(",", Test!A336,FIND(",", Test!A336,FIND(",", Test!A336)+1)+1)+1)-FIND(",", Test!A336,FIND(",", Test!A336,FIND(",", Test!A336)+1)+1)-1), IF(Test!B336&lt;&gt;"",MID(Test!B336,FIND(",",Test!B336)+1,FIND(",",Test!B336,FIND(",",Test!B336)+1)-FIND(",",Test!B336)-1),IF(Test!A336&lt;&gt;"",MID(Test!A336,FIND(",",Test!A336,FIND(",",Test!A336)+1)+1,FIND(",",Test!A336,FIND(",",Test!A336,FIND(",",Test!A336)+1)+1)-FIND(",",Test!A336,FIND(",",Test!A336)+1)-1),"")))</f>
        <v/>
      </c>
      <c r="C336" t="str">
        <f>IF(ISNUMBER(FIND("Query",Test!A336)),RIGHT(Test!A336,LEN(Test!A336)-FIND(",",Test!A336,FIND(",",Test!A336,FIND(",",Test!A336,FIND(",",Test!A336)+1)+1)+1)),IF(Test!B336&lt;&gt;"",RIGHT(Test!B336,LEN(Test!B336)-FIND(",",Test!B336,FIND(",",Test!B336)+1)),IF(Test!A336&lt;&gt;"",MID(Test!A336,FIND(",",Test!A336,FIND(",",Test!A336,FIND(",",Test!A336)+1)+1)+1,LEN(Test!A336)-FIND(",",Test!A336,FIND(",",Test!A336,FIND(",",Test!A336)+1)+1)),""))) &amp; IF(Test!C336&lt;&gt;"", " " &amp; SUBSTITUTE(Test!C336,"-",""), "")</f>
        <v/>
      </c>
    </row>
    <row r="337" spans="1:3" x14ac:dyDescent="0.25">
      <c r="A337" t="str">
        <f>IF(Test!A337="", "", IF(ISNUMBER(FIND("Query",Test!A337)), "AS Query ZMMIMR91 , ZGRIR_ALV", IF(LEFT(Test!A337,1)="7", "AS " &amp; Test!A337, "AS " &amp; IF(Test!B337="",SUBSTITUTE(MID(Test!A337,FIND(",",Test!A337)+1,FIND(",",Test!A337,FIND(",",Test!A337)+1)-FIND(",",Test!A337)-1),"Cube ",""),LEFT(Test!B337,FIND(",",Test!B337)-1)))))</f>
        <v/>
      </c>
      <c r="B337" t="str">
        <f>IF(ISNUMBER(SEARCH("Query", Test!A337)), MID(Test!A337,FIND(",", Test!A337,FIND(",", Test!A337,FIND(",", Test!A337)+1)+1)+1, FIND(",", Test!A337,FIND(",", Test!A337,FIND(",", Test!A337,FIND(",", Test!A337)+1)+1)+1)-FIND(",", Test!A337,FIND(",", Test!A337,FIND(",", Test!A337)+1)+1)-1), IF(Test!B337&lt;&gt;"",MID(Test!B337,FIND(",",Test!B337)+1,FIND(",",Test!B337,FIND(",",Test!B337)+1)-FIND(",",Test!B337)-1),IF(Test!A337&lt;&gt;"",MID(Test!A337,FIND(",",Test!A337,FIND(",",Test!A337)+1)+1,FIND(",",Test!A337,FIND(",",Test!A337,FIND(",",Test!A337)+1)+1)-FIND(",",Test!A337,FIND(",",Test!A337)+1)-1),"")))</f>
        <v/>
      </c>
      <c r="C337" t="str">
        <f>IF(ISNUMBER(FIND("Query",Test!A337)),RIGHT(Test!A337,LEN(Test!A337)-FIND(",",Test!A337,FIND(",",Test!A337,FIND(",",Test!A337,FIND(",",Test!A337)+1)+1)+1)),IF(Test!B337&lt;&gt;"",RIGHT(Test!B337,LEN(Test!B337)-FIND(",",Test!B337,FIND(",",Test!B337)+1)),IF(Test!A337&lt;&gt;"",MID(Test!A337,FIND(",",Test!A337,FIND(",",Test!A337,FIND(",",Test!A337)+1)+1)+1,LEN(Test!A337)-FIND(",",Test!A337,FIND(",",Test!A337,FIND(",",Test!A337)+1)+1)),""))) &amp; IF(Test!C337&lt;&gt;"", " " &amp; SUBSTITUTE(Test!C337,"-",""), "")</f>
        <v/>
      </c>
    </row>
    <row r="338" spans="1:3" x14ac:dyDescent="0.25">
      <c r="A338" t="str">
        <f>IF(Test!A338="", "", IF(ISNUMBER(FIND("Query",Test!A338)), "AS Query ZMMIMR91 , ZGRIR_ALV", IF(LEFT(Test!A338,1)="7", "AS " &amp; Test!A338, "AS " &amp; IF(Test!B338="",SUBSTITUTE(MID(Test!A338,FIND(",",Test!A338)+1,FIND(",",Test!A338,FIND(",",Test!A338)+1)-FIND(",",Test!A338)-1),"Cube ",""),LEFT(Test!B338,FIND(",",Test!B338)-1)))))</f>
        <v/>
      </c>
      <c r="B338" t="str">
        <f>IF(ISNUMBER(SEARCH("Query", Test!A338)), MID(Test!A338,FIND(",", Test!A338,FIND(",", Test!A338,FIND(",", Test!A338)+1)+1)+1, FIND(",", Test!A338,FIND(",", Test!A338,FIND(",", Test!A338,FIND(",", Test!A338)+1)+1)+1)-FIND(",", Test!A338,FIND(",", Test!A338,FIND(",", Test!A338)+1)+1)-1), IF(Test!B338&lt;&gt;"",MID(Test!B338,FIND(",",Test!B338)+1,FIND(",",Test!B338,FIND(",",Test!B338)+1)-FIND(",",Test!B338)-1),IF(Test!A338&lt;&gt;"",MID(Test!A338,FIND(",",Test!A338,FIND(",",Test!A338)+1)+1,FIND(",",Test!A338,FIND(",",Test!A338,FIND(",",Test!A338)+1)+1)-FIND(",",Test!A338,FIND(",",Test!A338)+1)-1),"")))</f>
        <v/>
      </c>
      <c r="C338" t="str">
        <f>IF(ISNUMBER(FIND("Query",Test!A338)),RIGHT(Test!A338,LEN(Test!A338)-FIND(",",Test!A338,FIND(",",Test!A338,FIND(",",Test!A338,FIND(",",Test!A338)+1)+1)+1)),IF(Test!B338&lt;&gt;"",RIGHT(Test!B338,LEN(Test!B338)-FIND(",",Test!B338,FIND(",",Test!B338)+1)),IF(Test!A338&lt;&gt;"",MID(Test!A338,FIND(",",Test!A338,FIND(",",Test!A338,FIND(",",Test!A338)+1)+1)+1,LEN(Test!A338)-FIND(",",Test!A338,FIND(",",Test!A338,FIND(",",Test!A338)+1)+1)),""))) &amp; IF(Test!C338&lt;&gt;"", " " &amp; SUBSTITUTE(Test!C338,"-",""), "")</f>
        <v/>
      </c>
    </row>
    <row r="339" spans="1:3" x14ac:dyDescent="0.25">
      <c r="A339" t="str">
        <f>IF(Test!A339="", "", IF(ISNUMBER(FIND("Query",Test!A339)), "AS Query ZMMIMR91 , ZGRIR_ALV", IF(LEFT(Test!A339,1)="7", "AS " &amp; Test!A339, "AS " &amp; IF(Test!B339="",SUBSTITUTE(MID(Test!A339,FIND(",",Test!A339)+1,FIND(",",Test!A339,FIND(",",Test!A339)+1)-FIND(",",Test!A339)-1),"Cube ",""),LEFT(Test!B339,FIND(",",Test!B339)-1)))))</f>
        <v/>
      </c>
      <c r="B339" t="str">
        <f>IF(ISNUMBER(SEARCH("Query", Test!A339)), MID(Test!A339,FIND(",", Test!A339,FIND(",", Test!A339,FIND(",", Test!A339)+1)+1)+1, FIND(",", Test!A339,FIND(",", Test!A339,FIND(",", Test!A339,FIND(",", Test!A339)+1)+1)+1)-FIND(",", Test!A339,FIND(",", Test!A339,FIND(",", Test!A339)+1)+1)-1), IF(Test!B339&lt;&gt;"",MID(Test!B339,FIND(",",Test!B339)+1,FIND(",",Test!B339,FIND(",",Test!B339)+1)-FIND(",",Test!B339)-1),IF(Test!A339&lt;&gt;"",MID(Test!A339,FIND(",",Test!A339,FIND(",",Test!A339)+1)+1,FIND(",",Test!A339,FIND(",",Test!A339,FIND(",",Test!A339)+1)+1)-FIND(",",Test!A339,FIND(",",Test!A339)+1)-1),"")))</f>
        <v/>
      </c>
      <c r="C339" t="str">
        <f>IF(ISNUMBER(FIND("Query",Test!A339)),RIGHT(Test!A339,LEN(Test!A339)-FIND(",",Test!A339,FIND(",",Test!A339,FIND(",",Test!A339,FIND(",",Test!A339)+1)+1)+1)),IF(Test!B339&lt;&gt;"",RIGHT(Test!B339,LEN(Test!B339)-FIND(",",Test!B339,FIND(",",Test!B339)+1)),IF(Test!A339&lt;&gt;"",MID(Test!A339,FIND(",",Test!A339,FIND(",",Test!A339,FIND(",",Test!A339)+1)+1)+1,LEN(Test!A339)-FIND(",",Test!A339,FIND(",",Test!A339,FIND(",",Test!A339)+1)+1)),""))) &amp; IF(Test!C339&lt;&gt;"", " " &amp; SUBSTITUTE(Test!C339,"-",""), "")</f>
        <v/>
      </c>
    </row>
    <row r="340" spans="1:3" x14ac:dyDescent="0.25">
      <c r="A340" t="str">
        <f>IF(Test!A340="", "", IF(ISNUMBER(FIND("Query",Test!A340)), "AS Query ZMMIMR91 , ZGRIR_ALV", IF(LEFT(Test!A340,1)="7", "AS " &amp; Test!A340, "AS " &amp; IF(Test!B340="",SUBSTITUTE(MID(Test!A340,FIND(",",Test!A340)+1,FIND(",",Test!A340,FIND(",",Test!A340)+1)-FIND(",",Test!A340)-1),"Cube ",""),LEFT(Test!B340,FIND(",",Test!B340)-1)))))</f>
        <v/>
      </c>
      <c r="B340" t="str">
        <f>IF(ISNUMBER(SEARCH("Query", Test!A340)), MID(Test!A340,FIND(",", Test!A340,FIND(",", Test!A340,FIND(",", Test!A340)+1)+1)+1, FIND(",", Test!A340,FIND(",", Test!A340,FIND(",", Test!A340,FIND(",", Test!A340)+1)+1)+1)-FIND(",", Test!A340,FIND(",", Test!A340,FIND(",", Test!A340)+1)+1)-1), IF(Test!B340&lt;&gt;"",MID(Test!B340,FIND(",",Test!B340)+1,FIND(",",Test!B340,FIND(",",Test!B340)+1)-FIND(",",Test!B340)-1),IF(Test!A340&lt;&gt;"",MID(Test!A340,FIND(",",Test!A340,FIND(",",Test!A340)+1)+1,FIND(",",Test!A340,FIND(",",Test!A340,FIND(",",Test!A340)+1)+1)-FIND(",",Test!A340,FIND(",",Test!A340)+1)-1),"")))</f>
        <v/>
      </c>
      <c r="C340" t="str">
        <f>IF(ISNUMBER(FIND("Query",Test!A340)),RIGHT(Test!A340,LEN(Test!A340)-FIND(",",Test!A340,FIND(",",Test!A340,FIND(",",Test!A340,FIND(",",Test!A340)+1)+1)+1)),IF(Test!B340&lt;&gt;"",RIGHT(Test!B340,LEN(Test!B340)-FIND(",",Test!B340,FIND(",",Test!B340)+1)),IF(Test!A340&lt;&gt;"",MID(Test!A340,FIND(",",Test!A340,FIND(",",Test!A340,FIND(",",Test!A340)+1)+1)+1,LEN(Test!A340)-FIND(",",Test!A340,FIND(",",Test!A340,FIND(",",Test!A340)+1)+1)),""))) &amp; IF(Test!C340&lt;&gt;"", " " &amp; SUBSTITUTE(Test!C340,"-",""), "")</f>
        <v/>
      </c>
    </row>
    <row r="341" spans="1:3" x14ac:dyDescent="0.25">
      <c r="A341" t="str">
        <f>IF(Test!A341="", "", IF(ISNUMBER(FIND("Query",Test!A341)), "AS Query ZMMIMR91 , ZGRIR_ALV", IF(LEFT(Test!A341,1)="7", "AS " &amp; Test!A341, "AS " &amp; IF(Test!B341="",SUBSTITUTE(MID(Test!A341,FIND(",",Test!A341)+1,FIND(",",Test!A341,FIND(",",Test!A341)+1)-FIND(",",Test!A341)-1),"Cube ",""),LEFT(Test!B341,FIND(",",Test!B341)-1)))))</f>
        <v/>
      </c>
      <c r="B341" t="str">
        <f>IF(ISNUMBER(SEARCH("Query", Test!A341)), MID(Test!A341,FIND(",", Test!A341,FIND(",", Test!A341,FIND(",", Test!A341)+1)+1)+1, FIND(",", Test!A341,FIND(",", Test!A341,FIND(",", Test!A341,FIND(",", Test!A341)+1)+1)+1)-FIND(",", Test!A341,FIND(",", Test!A341,FIND(",", Test!A341)+1)+1)-1), IF(Test!B341&lt;&gt;"",MID(Test!B341,FIND(",",Test!B341)+1,FIND(",",Test!B341,FIND(",",Test!B341)+1)-FIND(",",Test!B341)-1),IF(Test!A341&lt;&gt;"",MID(Test!A341,FIND(",",Test!A341,FIND(",",Test!A341)+1)+1,FIND(",",Test!A341,FIND(",",Test!A341,FIND(",",Test!A341)+1)+1)-FIND(",",Test!A341,FIND(",",Test!A341)+1)-1),"")))</f>
        <v/>
      </c>
      <c r="C341" t="str">
        <f>IF(ISNUMBER(FIND("Query",Test!A341)),RIGHT(Test!A341,LEN(Test!A341)-FIND(",",Test!A341,FIND(",",Test!A341,FIND(",",Test!A341,FIND(",",Test!A341)+1)+1)+1)),IF(Test!B341&lt;&gt;"",RIGHT(Test!B341,LEN(Test!B341)-FIND(",",Test!B341,FIND(",",Test!B341)+1)),IF(Test!A341&lt;&gt;"",MID(Test!A341,FIND(",",Test!A341,FIND(",",Test!A341,FIND(",",Test!A341)+1)+1)+1,LEN(Test!A341)-FIND(",",Test!A341,FIND(",",Test!A341,FIND(",",Test!A341)+1)+1)),""))) &amp; IF(Test!C341&lt;&gt;"", " " &amp; SUBSTITUTE(Test!C341,"-",""), "")</f>
        <v/>
      </c>
    </row>
    <row r="342" spans="1:3" x14ac:dyDescent="0.25">
      <c r="A342" t="str">
        <f>IF(Test!A342="", "", IF(ISNUMBER(FIND("Query",Test!A342)), "AS Query ZMMIMR91 , ZGRIR_ALV", IF(LEFT(Test!A342,1)="7", "AS " &amp; Test!A342, "AS " &amp; IF(Test!B342="",SUBSTITUTE(MID(Test!A342,FIND(",",Test!A342)+1,FIND(",",Test!A342,FIND(",",Test!A342)+1)-FIND(",",Test!A342)-1),"Cube ",""),LEFT(Test!B342,FIND(",",Test!B342)-1)))))</f>
        <v/>
      </c>
      <c r="B342" t="str">
        <f>IF(ISNUMBER(SEARCH("Query", Test!A342)), MID(Test!A342,FIND(",", Test!A342,FIND(",", Test!A342,FIND(",", Test!A342)+1)+1)+1, FIND(",", Test!A342,FIND(",", Test!A342,FIND(",", Test!A342,FIND(",", Test!A342)+1)+1)+1)-FIND(",", Test!A342,FIND(",", Test!A342,FIND(",", Test!A342)+1)+1)-1), IF(Test!B342&lt;&gt;"",MID(Test!B342,FIND(",",Test!B342)+1,FIND(",",Test!B342,FIND(",",Test!B342)+1)-FIND(",",Test!B342)-1),IF(Test!A342&lt;&gt;"",MID(Test!A342,FIND(",",Test!A342,FIND(",",Test!A342)+1)+1,FIND(",",Test!A342,FIND(",",Test!A342,FIND(",",Test!A342)+1)+1)-FIND(",",Test!A342,FIND(",",Test!A342)+1)-1),"")))</f>
        <v/>
      </c>
      <c r="C342" t="str">
        <f>IF(ISNUMBER(FIND("Query",Test!A342)),RIGHT(Test!A342,LEN(Test!A342)-FIND(",",Test!A342,FIND(",",Test!A342,FIND(",",Test!A342,FIND(",",Test!A342)+1)+1)+1)),IF(Test!B342&lt;&gt;"",RIGHT(Test!B342,LEN(Test!B342)-FIND(",",Test!B342,FIND(",",Test!B342)+1)),IF(Test!A342&lt;&gt;"",MID(Test!A342,FIND(",",Test!A342,FIND(",",Test!A342,FIND(",",Test!A342)+1)+1)+1,LEN(Test!A342)-FIND(",",Test!A342,FIND(",",Test!A342,FIND(",",Test!A342)+1)+1)),""))) &amp; IF(Test!C342&lt;&gt;"", " " &amp; SUBSTITUTE(Test!C342,"-",""), "")</f>
        <v/>
      </c>
    </row>
    <row r="343" spans="1:3" x14ac:dyDescent="0.25">
      <c r="A343" t="str">
        <f>IF(Test!A343="", "", IF(ISNUMBER(FIND("Query",Test!A343)), "AS Query ZMMIMR91 , ZGRIR_ALV", IF(LEFT(Test!A343,1)="7", "AS " &amp; Test!A343, "AS " &amp; IF(Test!B343="",SUBSTITUTE(MID(Test!A343,FIND(",",Test!A343)+1,FIND(",",Test!A343,FIND(",",Test!A343)+1)-FIND(",",Test!A343)-1),"Cube ",""),LEFT(Test!B343,FIND(",",Test!B343)-1)))))</f>
        <v/>
      </c>
      <c r="B343" t="str">
        <f>IF(ISNUMBER(SEARCH("Query", Test!A343)), MID(Test!A343,FIND(",", Test!A343,FIND(",", Test!A343,FIND(",", Test!A343)+1)+1)+1, FIND(",", Test!A343,FIND(",", Test!A343,FIND(",", Test!A343,FIND(",", Test!A343)+1)+1)+1)-FIND(",", Test!A343,FIND(",", Test!A343,FIND(",", Test!A343)+1)+1)-1), IF(Test!B343&lt;&gt;"",MID(Test!B343,FIND(",",Test!B343)+1,FIND(",",Test!B343,FIND(",",Test!B343)+1)-FIND(",",Test!B343)-1),IF(Test!A343&lt;&gt;"",MID(Test!A343,FIND(",",Test!A343,FIND(",",Test!A343)+1)+1,FIND(",",Test!A343,FIND(",",Test!A343,FIND(",",Test!A343)+1)+1)-FIND(",",Test!A343,FIND(",",Test!A343)+1)-1),"")))</f>
        <v/>
      </c>
      <c r="C343" t="str">
        <f>IF(ISNUMBER(FIND("Query",Test!A343)),RIGHT(Test!A343,LEN(Test!A343)-FIND(",",Test!A343,FIND(",",Test!A343,FIND(",",Test!A343,FIND(",",Test!A343)+1)+1)+1)),IF(Test!B343&lt;&gt;"",RIGHT(Test!B343,LEN(Test!B343)-FIND(",",Test!B343,FIND(",",Test!B343)+1)),IF(Test!A343&lt;&gt;"",MID(Test!A343,FIND(",",Test!A343,FIND(",",Test!A343,FIND(",",Test!A343)+1)+1)+1,LEN(Test!A343)-FIND(",",Test!A343,FIND(",",Test!A343,FIND(",",Test!A343)+1)+1)),""))) &amp; IF(Test!C343&lt;&gt;"", " " &amp; SUBSTITUTE(Test!C343,"-",""), "")</f>
        <v/>
      </c>
    </row>
    <row r="344" spans="1:3" x14ac:dyDescent="0.25">
      <c r="A344" t="str">
        <f>IF(Test!A344="", "", IF(ISNUMBER(FIND("Query",Test!A344)), "AS Query ZMMIMR91 , ZGRIR_ALV", IF(LEFT(Test!A344,1)="7", "AS " &amp; Test!A344, "AS " &amp; IF(Test!B344="",SUBSTITUTE(MID(Test!A344,FIND(",",Test!A344)+1,FIND(",",Test!A344,FIND(",",Test!A344)+1)-FIND(",",Test!A344)-1),"Cube ",""),LEFT(Test!B344,FIND(",",Test!B344)-1)))))</f>
        <v/>
      </c>
      <c r="B344" t="str">
        <f>IF(ISNUMBER(SEARCH("Query", Test!A344)), MID(Test!A344,FIND(",", Test!A344,FIND(",", Test!A344,FIND(",", Test!A344)+1)+1)+1, FIND(",", Test!A344,FIND(",", Test!A344,FIND(",", Test!A344,FIND(",", Test!A344)+1)+1)+1)-FIND(",", Test!A344,FIND(",", Test!A344,FIND(",", Test!A344)+1)+1)-1), IF(Test!B344&lt;&gt;"",MID(Test!B344,FIND(",",Test!B344)+1,FIND(",",Test!B344,FIND(",",Test!B344)+1)-FIND(",",Test!B344)-1),IF(Test!A344&lt;&gt;"",MID(Test!A344,FIND(",",Test!A344,FIND(",",Test!A344)+1)+1,FIND(",",Test!A344,FIND(",",Test!A344,FIND(",",Test!A344)+1)+1)-FIND(",",Test!A344,FIND(",",Test!A344)+1)-1),"")))</f>
        <v/>
      </c>
      <c r="C344" t="str">
        <f>IF(ISNUMBER(FIND("Query",Test!A344)),RIGHT(Test!A344,LEN(Test!A344)-FIND(",",Test!A344,FIND(",",Test!A344,FIND(",",Test!A344,FIND(",",Test!A344)+1)+1)+1)),IF(Test!B344&lt;&gt;"",RIGHT(Test!B344,LEN(Test!B344)-FIND(",",Test!B344,FIND(",",Test!B344)+1)),IF(Test!A344&lt;&gt;"",MID(Test!A344,FIND(",",Test!A344,FIND(",",Test!A344,FIND(",",Test!A344)+1)+1)+1,LEN(Test!A344)-FIND(",",Test!A344,FIND(",",Test!A344,FIND(",",Test!A344)+1)+1)),""))) &amp; IF(Test!C344&lt;&gt;"", " " &amp; SUBSTITUTE(Test!C344,"-",""), "")</f>
        <v/>
      </c>
    </row>
    <row r="345" spans="1:3" x14ac:dyDescent="0.25">
      <c r="A345" t="str">
        <f>IF(Test!A345="", "", IF(ISNUMBER(FIND("Query",Test!A345)), "AS Query ZMMIMR91 , ZGRIR_ALV", IF(LEFT(Test!A345,1)="7", "AS " &amp; Test!A345, "AS " &amp; IF(Test!B345="",SUBSTITUTE(MID(Test!A345,FIND(",",Test!A345)+1,FIND(",",Test!A345,FIND(",",Test!A345)+1)-FIND(",",Test!A345)-1),"Cube ",""),LEFT(Test!B345,FIND(",",Test!B345)-1)))))</f>
        <v/>
      </c>
      <c r="B345" t="str">
        <f>IF(ISNUMBER(SEARCH("Query", Test!A345)), MID(Test!A345,FIND(",", Test!A345,FIND(",", Test!A345,FIND(",", Test!A345)+1)+1)+1, FIND(",", Test!A345,FIND(",", Test!A345,FIND(",", Test!A345,FIND(",", Test!A345)+1)+1)+1)-FIND(",", Test!A345,FIND(",", Test!A345,FIND(",", Test!A345)+1)+1)-1), IF(Test!B345&lt;&gt;"",MID(Test!B345,FIND(",",Test!B345)+1,FIND(",",Test!B345,FIND(",",Test!B345)+1)-FIND(",",Test!B345)-1),IF(Test!A345&lt;&gt;"",MID(Test!A345,FIND(",",Test!A345,FIND(",",Test!A345)+1)+1,FIND(",",Test!A345,FIND(",",Test!A345,FIND(",",Test!A345)+1)+1)-FIND(",",Test!A345,FIND(",",Test!A345)+1)-1),"")))</f>
        <v/>
      </c>
      <c r="C345" t="str">
        <f>IF(ISNUMBER(FIND("Query",Test!A345)),RIGHT(Test!A345,LEN(Test!A345)-FIND(",",Test!A345,FIND(",",Test!A345,FIND(",",Test!A345,FIND(",",Test!A345)+1)+1)+1)),IF(Test!B345&lt;&gt;"",RIGHT(Test!B345,LEN(Test!B345)-FIND(",",Test!B345,FIND(",",Test!B345)+1)),IF(Test!A345&lt;&gt;"",MID(Test!A345,FIND(",",Test!A345,FIND(",",Test!A345,FIND(",",Test!A345)+1)+1)+1,LEN(Test!A345)-FIND(",",Test!A345,FIND(",",Test!A345,FIND(",",Test!A345)+1)+1)),""))) &amp; IF(Test!C345&lt;&gt;"", " " &amp; SUBSTITUTE(Test!C345,"-",""), "")</f>
        <v/>
      </c>
    </row>
    <row r="346" spans="1:3" x14ac:dyDescent="0.25">
      <c r="A346" t="str">
        <f>IF(Test!A346="", "", IF(ISNUMBER(FIND("Query",Test!A346)), "AS Query ZMMIMR91 , ZGRIR_ALV", IF(LEFT(Test!A346,1)="7", "AS " &amp; Test!A346, "AS " &amp; IF(Test!B346="",SUBSTITUTE(MID(Test!A346,FIND(",",Test!A346)+1,FIND(",",Test!A346,FIND(",",Test!A346)+1)-FIND(",",Test!A346)-1),"Cube ",""),LEFT(Test!B346,FIND(",",Test!B346)-1)))))</f>
        <v/>
      </c>
      <c r="B346" t="str">
        <f>IF(ISNUMBER(SEARCH("Query", Test!A346)), MID(Test!A346,FIND(",", Test!A346,FIND(",", Test!A346,FIND(",", Test!A346)+1)+1)+1, FIND(",", Test!A346,FIND(",", Test!A346,FIND(",", Test!A346,FIND(",", Test!A346)+1)+1)+1)-FIND(",", Test!A346,FIND(",", Test!A346,FIND(",", Test!A346)+1)+1)-1), IF(Test!B346&lt;&gt;"",MID(Test!B346,FIND(",",Test!B346)+1,FIND(",",Test!B346,FIND(",",Test!B346)+1)-FIND(",",Test!B346)-1),IF(Test!A346&lt;&gt;"",MID(Test!A346,FIND(",",Test!A346,FIND(",",Test!A346)+1)+1,FIND(",",Test!A346,FIND(",",Test!A346,FIND(",",Test!A346)+1)+1)-FIND(",",Test!A346,FIND(",",Test!A346)+1)-1),"")))</f>
        <v/>
      </c>
      <c r="C346" t="str">
        <f>IF(ISNUMBER(FIND("Query",Test!A346)),RIGHT(Test!A346,LEN(Test!A346)-FIND(",",Test!A346,FIND(",",Test!A346,FIND(",",Test!A346,FIND(",",Test!A346)+1)+1)+1)),IF(Test!B346&lt;&gt;"",RIGHT(Test!B346,LEN(Test!B346)-FIND(",",Test!B346,FIND(",",Test!B346)+1)),IF(Test!A346&lt;&gt;"",MID(Test!A346,FIND(",",Test!A346,FIND(",",Test!A346,FIND(",",Test!A346)+1)+1)+1,LEN(Test!A346)-FIND(",",Test!A346,FIND(",",Test!A346,FIND(",",Test!A346)+1)+1)),""))) &amp; IF(Test!C346&lt;&gt;"", " " &amp; SUBSTITUTE(Test!C346,"-",""), "")</f>
        <v/>
      </c>
    </row>
    <row r="347" spans="1:3" x14ac:dyDescent="0.25">
      <c r="A347" t="str">
        <f>IF(Test!A347="", "", IF(ISNUMBER(FIND("Query",Test!A347)), "AS Query ZMMIMR91 , ZGRIR_ALV", IF(LEFT(Test!A347,1)="7", "AS " &amp; Test!A347, "AS " &amp; IF(Test!B347="",SUBSTITUTE(MID(Test!A347,FIND(",",Test!A347)+1,FIND(",",Test!A347,FIND(",",Test!A347)+1)-FIND(",",Test!A347)-1),"Cube ",""),LEFT(Test!B347,FIND(",",Test!B347)-1)))))</f>
        <v/>
      </c>
      <c r="B347" t="str">
        <f>IF(ISNUMBER(SEARCH("Query", Test!A347)), MID(Test!A347,FIND(",", Test!A347,FIND(",", Test!A347,FIND(",", Test!A347)+1)+1)+1, FIND(",", Test!A347,FIND(",", Test!A347,FIND(",", Test!A347,FIND(",", Test!A347)+1)+1)+1)-FIND(",", Test!A347,FIND(",", Test!A347,FIND(",", Test!A347)+1)+1)-1), IF(Test!B347&lt;&gt;"",MID(Test!B347,FIND(",",Test!B347)+1,FIND(",",Test!B347,FIND(",",Test!B347)+1)-FIND(",",Test!B347)-1),IF(Test!A347&lt;&gt;"",MID(Test!A347,FIND(",",Test!A347,FIND(",",Test!A347)+1)+1,FIND(",",Test!A347,FIND(",",Test!A347,FIND(",",Test!A347)+1)+1)-FIND(",",Test!A347,FIND(",",Test!A347)+1)-1),"")))</f>
        <v/>
      </c>
      <c r="C347" t="str">
        <f>IF(ISNUMBER(FIND("Query",Test!A347)),RIGHT(Test!A347,LEN(Test!A347)-FIND(",",Test!A347,FIND(",",Test!A347,FIND(",",Test!A347,FIND(",",Test!A347)+1)+1)+1)),IF(Test!B347&lt;&gt;"",RIGHT(Test!B347,LEN(Test!B347)-FIND(",",Test!B347,FIND(",",Test!B347)+1)),IF(Test!A347&lt;&gt;"",MID(Test!A347,FIND(",",Test!A347,FIND(",",Test!A347,FIND(",",Test!A347)+1)+1)+1,LEN(Test!A347)-FIND(",",Test!A347,FIND(",",Test!A347,FIND(",",Test!A347)+1)+1)),""))) &amp; IF(Test!C347&lt;&gt;"", " " &amp; SUBSTITUTE(Test!C347,"-",""), "")</f>
        <v/>
      </c>
    </row>
    <row r="348" spans="1:3" x14ac:dyDescent="0.25">
      <c r="A348" t="str">
        <f>IF(Test!A348="", "", IF(ISNUMBER(FIND("Query",Test!A348)), "AS Query ZMMIMR91 , ZGRIR_ALV", IF(LEFT(Test!A348,1)="7", "AS " &amp; Test!A348, "AS " &amp; IF(Test!B348="",SUBSTITUTE(MID(Test!A348,FIND(",",Test!A348)+1,FIND(",",Test!A348,FIND(",",Test!A348)+1)-FIND(",",Test!A348)-1),"Cube ",""),LEFT(Test!B348,FIND(",",Test!B348)-1)))))</f>
        <v/>
      </c>
      <c r="B348" t="str">
        <f>IF(ISNUMBER(SEARCH("Query", Test!A348)), MID(Test!A348,FIND(",", Test!A348,FIND(",", Test!A348,FIND(",", Test!A348)+1)+1)+1, FIND(",", Test!A348,FIND(",", Test!A348,FIND(",", Test!A348,FIND(",", Test!A348)+1)+1)+1)-FIND(",", Test!A348,FIND(",", Test!A348,FIND(",", Test!A348)+1)+1)-1), IF(Test!B348&lt;&gt;"",MID(Test!B348,FIND(",",Test!B348)+1,FIND(",",Test!B348,FIND(",",Test!B348)+1)-FIND(",",Test!B348)-1),IF(Test!A348&lt;&gt;"",MID(Test!A348,FIND(",",Test!A348,FIND(",",Test!A348)+1)+1,FIND(",",Test!A348,FIND(",",Test!A348,FIND(",",Test!A348)+1)+1)-FIND(",",Test!A348,FIND(",",Test!A348)+1)-1),"")))</f>
        <v/>
      </c>
      <c r="C348" t="str">
        <f>IF(ISNUMBER(FIND("Query",Test!A348)),RIGHT(Test!A348,LEN(Test!A348)-FIND(",",Test!A348,FIND(",",Test!A348,FIND(",",Test!A348,FIND(",",Test!A348)+1)+1)+1)),IF(Test!B348&lt;&gt;"",RIGHT(Test!B348,LEN(Test!B348)-FIND(",",Test!B348,FIND(",",Test!B348)+1)),IF(Test!A348&lt;&gt;"",MID(Test!A348,FIND(",",Test!A348,FIND(",",Test!A348,FIND(",",Test!A348)+1)+1)+1,LEN(Test!A348)-FIND(",",Test!A348,FIND(",",Test!A348,FIND(",",Test!A348)+1)+1)),""))) &amp; IF(Test!C348&lt;&gt;"", " " &amp; SUBSTITUTE(Test!C348,"-",""), "")</f>
        <v/>
      </c>
    </row>
    <row r="349" spans="1:3" x14ac:dyDescent="0.25">
      <c r="A349" t="str">
        <f>IF(Test!A349="", "", IF(ISNUMBER(FIND("Query",Test!A349)), "AS Query ZMMIMR91 , ZGRIR_ALV", IF(LEFT(Test!A349,1)="7", "AS " &amp; Test!A349, "AS " &amp; IF(Test!B349="",SUBSTITUTE(MID(Test!A349,FIND(",",Test!A349)+1,FIND(",",Test!A349,FIND(",",Test!A349)+1)-FIND(",",Test!A349)-1),"Cube ",""),LEFT(Test!B349,FIND(",",Test!B349)-1)))))</f>
        <v/>
      </c>
      <c r="B349" t="str">
        <f>IF(ISNUMBER(SEARCH("Query", Test!A349)), MID(Test!A349,FIND(",", Test!A349,FIND(",", Test!A349,FIND(",", Test!A349)+1)+1)+1, FIND(",", Test!A349,FIND(",", Test!A349,FIND(",", Test!A349,FIND(",", Test!A349)+1)+1)+1)-FIND(",", Test!A349,FIND(",", Test!A349,FIND(",", Test!A349)+1)+1)-1), IF(Test!B349&lt;&gt;"",MID(Test!B349,FIND(",",Test!B349)+1,FIND(",",Test!B349,FIND(",",Test!B349)+1)-FIND(",",Test!B349)-1),IF(Test!A349&lt;&gt;"",MID(Test!A349,FIND(",",Test!A349,FIND(",",Test!A349)+1)+1,FIND(",",Test!A349,FIND(",",Test!A349,FIND(",",Test!A349)+1)+1)-FIND(",",Test!A349,FIND(",",Test!A349)+1)-1),"")))</f>
        <v/>
      </c>
      <c r="C349" t="str">
        <f>IF(ISNUMBER(FIND("Query",Test!A349)),RIGHT(Test!A349,LEN(Test!A349)-FIND(",",Test!A349,FIND(",",Test!A349,FIND(",",Test!A349,FIND(",",Test!A349)+1)+1)+1)),IF(Test!B349&lt;&gt;"",RIGHT(Test!B349,LEN(Test!B349)-FIND(",",Test!B349,FIND(",",Test!B349)+1)),IF(Test!A349&lt;&gt;"",MID(Test!A349,FIND(",",Test!A349,FIND(",",Test!A349,FIND(",",Test!A349)+1)+1)+1,LEN(Test!A349)-FIND(",",Test!A349,FIND(",",Test!A349,FIND(",",Test!A349)+1)+1)),""))) &amp; IF(Test!C349&lt;&gt;"", " " &amp; SUBSTITUTE(Test!C349,"-",""), "")</f>
        <v/>
      </c>
    </row>
    <row r="350" spans="1:3" x14ac:dyDescent="0.25">
      <c r="A350" t="str">
        <f>IF(Test!A350="", "", IF(ISNUMBER(FIND("Query",Test!A350)), "AS Query ZMMIMR91 , ZGRIR_ALV", IF(LEFT(Test!A350,1)="7", "AS " &amp; Test!A350, "AS " &amp; IF(Test!B350="",SUBSTITUTE(MID(Test!A350,FIND(",",Test!A350)+1,FIND(",",Test!A350,FIND(",",Test!A350)+1)-FIND(",",Test!A350)-1),"Cube ",""),LEFT(Test!B350,FIND(",",Test!B350)-1)))))</f>
        <v/>
      </c>
      <c r="B350" t="str">
        <f>IF(ISNUMBER(SEARCH("Query", Test!A350)), MID(Test!A350,FIND(",", Test!A350,FIND(",", Test!A350,FIND(",", Test!A350)+1)+1)+1, FIND(",", Test!A350,FIND(",", Test!A350,FIND(",", Test!A350,FIND(",", Test!A350)+1)+1)+1)-FIND(",", Test!A350,FIND(",", Test!A350,FIND(",", Test!A350)+1)+1)-1), IF(Test!B350&lt;&gt;"",MID(Test!B350,FIND(",",Test!B350)+1,FIND(",",Test!B350,FIND(",",Test!B350)+1)-FIND(",",Test!B350)-1),IF(Test!A350&lt;&gt;"",MID(Test!A350,FIND(",",Test!A350,FIND(",",Test!A350)+1)+1,FIND(",",Test!A350,FIND(",",Test!A350,FIND(",",Test!A350)+1)+1)-FIND(",",Test!A350,FIND(",",Test!A350)+1)-1),"")))</f>
        <v/>
      </c>
      <c r="C350" t="str">
        <f>IF(ISNUMBER(FIND("Query",Test!A350)),RIGHT(Test!A350,LEN(Test!A350)-FIND(",",Test!A350,FIND(",",Test!A350,FIND(",",Test!A350,FIND(",",Test!A350)+1)+1)+1)),IF(Test!B350&lt;&gt;"",RIGHT(Test!B350,LEN(Test!B350)-FIND(",",Test!B350,FIND(",",Test!B350)+1)),IF(Test!A350&lt;&gt;"",MID(Test!A350,FIND(",",Test!A350,FIND(",",Test!A350,FIND(",",Test!A350)+1)+1)+1,LEN(Test!A350)-FIND(",",Test!A350,FIND(",",Test!A350,FIND(",",Test!A350)+1)+1)),""))) &amp; IF(Test!C350&lt;&gt;"", " " &amp; SUBSTITUTE(Test!C350,"-",""), "")</f>
        <v/>
      </c>
    </row>
    <row r="351" spans="1:3" x14ac:dyDescent="0.25">
      <c r="A351" t="str">
        <f>IF(Test!A351="", "", IF(ISNUMBER(FIND("Query",Test!A351)), "AS Query ZMMIMR91 , ZGRIR_ALV", IF(LEFT(Test!A351,1)="7", "AS " &amp; Test!A351, "AS " &amp; IF(Test!B351="",SUBSTITUTE(MID(Test!A351,FIND(",",Test!A351)+1,FIND(",",Test!A351,FIND(",",Test!A351)+1)-FIND(",",Test!A351)-1),"Cube ",""),LEFT(Test!B351,FIND(",",Test!B351)-1)))))</f>
        <v/>
      </c>
      <c r="B351" t="str">
        <f>IF(ISNUMBER(SEARCH("Query", Test!A351)), MID(Test!A351,FIND(",", Test!A351,FIND(",", Test!A351,FIND(",", Test!A351)+1)+1)+1, FIND(",", Test!A351,FIND(",", Test!A351,FIND(",", Test!A351,FIND(",", Test!A351)+1)+1)+1)-FIND(",", Test!A351,FIND(",", Test!A351,FIND(",", Test!A351)+1)+1)-1), IF(Test!B351&lt;&gt;"",MID(Test!B351,FIND(",",Test!B351)+1,FIND(",",Test!B351,FIND(",",Test!B351)+1)-FIND(",",Test!B351)-1),IF(Test!A351&lt;&gt;"",MID(Test!A351,FIND(",",Test!A351,FIND(",",Test!A351)+1)+1,FIND(",",Test!A351,FIND(",",Test!A351,FIND(",",Test!A351)+1)+1)-FIND(",",Test!A351,FIND(",",Test!A351)+1)-1),"")))</f>
        <v/>
      </c>
      <c r="C351" t="str">
        <f>IF(ISNUMBER(FIND("Query",Test!A351)),RIGHT(Test!A351,LEN(Test!A351)-FIND(",",Test!A351,FIND(",",Test!A351,FIND(",",Test!A351,FIND(",",Test!A351)+1)+1)+1)),IF(Test!B351&lt;&gt;"",RIGHT(Test!B351,LEN(Test!B351)-FIND(",",Test!B351,FIND(",",Test!B351)+1)),IF(Test!A351&lt;&gt;"",MID(Test!A351,FIND(",",Test!A351,FIND(",",Test!A351,FIND(",",Test!A351)+1)+1)+1,LEN(Test!A351)-FIND(",",Test!A351,FIND(",",Test!A351,FIND(",",Test!A351)+1)+1)),""))) &amp; IF(Test!C351&lt;&gt;"", " " &amp; SUBSTITUTE(Test!C351,"-",""), "")</f>
        <v/>
      </c>
    </row>
    <row r="352" spans="1:3" x14ac:dyDescent="0.25">
      <c r="A352" t="str">
        <f>IF(Test!A352="", "", IF(ISNUMBER(FIND("Query",Test!A352)), "AS Query ZMMIMR91 , ZGRIR_ALV", IF(LEFT(Test!A352,1)="7", "AS " &amp; Test!A352, "AS " &amp; IF(Test!B352="",SUBSTITUTE(MID(Test!A352,FIND(",",Test!A352)+1,FIND(",",Test!A352,FIND(",",Test!A352)+1)-FIND(",",Test!A352)-1),"Cube ",""),LEFT(Test!B352,FIND(",",Test!B352)-1)))))</f>
        <v/>
      </c>
      <c r="B352" t="str">
        <f>IF(ISNUMBER(SEARCH("Query", Test!A352)), MID(Test!A352,FIND(",", Test!A352,FIND(",", Test!A352,FIND(",", Test!A352)+1)+1)+1, FIND(",", Test!A352,FIND(",", Test!A352,FIND(",", Test!A352,FIND(",", Test!A352)+1)+1)+1)-FIND(",", Test!A352,FIND(",", Test!A352,FIND(",", Test!A352)+1)+1)-1), IF(Test!B352&lt;&gt;"",MID(Test!B352,FIND(",",Test!B352)+1,FIND(",",Test!B352,FIND(",",Test!B352)+1)-FIND(",",Test!B352)-1),IF(Test!A352&lt;&gt;"",MID(Test!A352,FIND(",",Test!A352,FIND(",",Test!A352)+1)+1,FIND(",",Test!A352,FIND(",",Test!A352,FIND(",",Test!A352)+1)+1)-FIND(",",Test!A352,FIND(",",Test!A352)+1)-1),"")))</f>
        <v/>
      </c>
      <c r="C352" t="str">
        <f>IF(ISNUMBER(FIND("Query",Test!A352)),RIGHT(Test!A352,LEN(Test!A352)-FIND(",",Test!A352,FIND(",",Test!A352,FIND(",",Test!A352,FIND(",",Test!A352)+1)+1)+1)),IF(Test!B352&lt;&gt;"",RIGHT(Test!B352,LEN(Test!B352)-FIND(",",Test!B352,FIND(",",Test!B352)+1)),IF(Test!A352&lt;&gt;"",MID(Test!A352,FIND(",",Test!A352,FIND(",",Test!A352,FIND(",",Test!A352)+1)+1)+1,LEN(Test!A352)-FIND(",",Test!A352,FIND(",",Test!A352,FIND(",",Test!A352)+1)+1)),""))) &amp; IF(Test!C352&lt;&gt;"", " " &amp; SUBSTITUTE(Test!C352,"-",""), "")</f>
        <v/>
      </c>
    </row>
    <row r="353" spans="1:3" x14ac:dyDescent="0.25">
      <c r="A353" t="str">
        <f>IF(Test!A353="", "", IF(ISNUMBER(FIND("Query",Test!A353)), "AS Query ZMMIMR91 , ZGRIR_ALV", IF(LEFT(Test!A353,1)="7", "AS " &amp; Test!A353, "AS " &amp; IF(Test!B353="",SUBSTITUTE(MID(Test!A353,FIND(",",Test!A353)+1,FIND(",",Test!A353,FIND(",",Test!A353)+1)-FIND(",",Test!A353)-1),"Cube ",""),LEFT(Test!B353,FIND(",",Test!B353)-1)))))</f>
        <v/>
      </c>
      <c r="B353" t="str">
        <f>IF(ISNUMBER(SEARCH("Query", Test!A353)), MID(Test!A353,FIND(",", Test!A353,FIND(",", Test!A353,FIND(",", Test!A353)+1)+1)+1, FIND(",", Test!A353,FIND(",", Test!A353,FIND(",", Test!A353,FIND(",", Test!A353)+1)+1)+1)-FIND(",", Test!A353,FIND(",", Test!A353,FIND(",", Test!A353)+1)+1)-1), IF(Test!B353&lt;&gt;"",MID(Test!B353,FIND(",",Test!B353)+1,FIND(",",Test!B353,FIND(",",Test!B353)+1)-FIND(",",Test!B353)-1),IF(Test!A353&lt;&gt;"",MID(Test!A353,FIND(",",Test!A353,FIND(",",Test!A353)+1)+1,FIND(",",Test!A353,FIND(",",Test!A353,FIND(",",Test!A353)+1)+1)-FIND(",",Test!A353,FIND(",",Test!A353)+1)-1),"")))</f>
        <v/>
      </c>
      <c r="C353" t="str">
        <f>IF(ISNUMBER(FIND("Query",Test!A353)),RIGHT(Test!A353,LEN(Test!A353)-FIND(",",Test!A353,FIND(",",Test!A353,FIND(",",Test!A353,FIND(",",Test!A353)+1)+1)+1)),IF(Test!B353&lt;&gt;"",RIGHT(Test!B353,LEN(Test!B353)-FIND(",",Test!B353,FIND(",",Test!B353)+1)),IF(Test!A353&lt;&gt;"",MID(Test!A353,FIND(",",Test!A353,FIND(",",Test!A353,FIND(",",Test!A353)+1)+1)+1,LEN(Test!A353)-FIND(",",Test!A353,FIND(",",Test!A353,FIND(",",Test!A353)+1)+1)),""))) &amp; IF(Test!C353&lt;&gt;"", " " &amp; SUBSTITUTE(Test!C353,"-",""), "")</f>
        <v/>
      </c>
    </row>
    <row r="354" spans="1:3" x14ac:dyDescent="0.25">
      <c r="A354" t="str">
        <f>IF(Test!A354="", "", IF(ISNUMBER(FIND("Query",Test!A354)), "AS Query ZMMIMR91 , ZGRIR_ALV", IF(LEFT(Test!A354,1)="7", "AS " &amp; Test!A354, "AS " &amp; IF(Test!B354="",SUBSTITUTE(MID(Test!A354,FIND(",",Test!A354)+1,FIND(",",Test!A354,FIND(",",Test!A354)+1)-FIND(",",Test!A354)-1),"Cube ",""),LEFT(Test!B354,FIND(",",Test!B354)-1)))))</f>
        <v/>
      </c>
      <c r="B354" t="str">
        <f>IF(ISNUMBER(SEARCH("Query", Test!A354)), MID(Test!A354,FIND(",", Test!A354,FIND(",", Test!A354,FIND(",", Test!A354)+1)+1)+1, FIND(",", Test!A354,FIND(",", Test!A354,FIND(",", Test!A354,FIND(",", Test!A354)+1)+1)+1)-FIND(",", Test!A354,FIND(",", Test!A354,FIND(",", Test!A354)+1)+1)-1), IF(Test!B354&lt;&gt;"",MID(Test!B354,FIND(",",Test!B354)+1,FIND(",",Test!B354,FIND(",",Test!B354)+1)-FIND(",",Test!B354)-1),IF(Test!A354&lt;&gt;"",MID(Test!A354,FIND(",",Test!A354,FIND(",",Test!A354)+1)+1,FIND(",",Test!A354,FIND(",",Test!A354,FIND(",",Test!A354)+1)+1)-FIND(",",Test!A354,FIND(",",Test!A354)+1)-1),"")))</f>
        <v/>
      </c>
      <c r="C354" t="str">
        <f>IF(ISNUMBER(FIND("Query",Test!A354)),RIGHT(Test!A354,LEN(Test!A354)-FIND(",",Test!A354,FIND(",",Test!A354,FIND(",",Test!A354,FIND(",",Test!A354)+1)+1)+1)),IF(Test!B354&lt;&gt;"",RIGHT(Test!B354,LEN(Test!B354)-FIND(",",Test!B354,FIND(",",Test!B354)+1)),IF(Test!A354&lt;&gt;"",MID(Test!A354,FIND(",",Test!A354,FIND(",",Test!A354,FIND(",",Test!A354)+1)+1)+1,LEN(Test!A354)-FIND(",",Test!A354,FIND(",",Test!A354,FIND(",",Test!A354)+1)+1)),""))) &amp; IF(Test!C354&lt;&gt;"", " " &amp; SUBSTITUTE(Test!C354,"-",""), "")</f>
        <v/>
      </c>
    </row>
    <row r="355" spans="1:3" x14ac:dyDescent="0.25">
      <c r="A355" t="str">
        <f>IF(Test!A355="", "", IF(ISNUMBER(FIND("Query",Test!A355)), "AS Query ZMMIMR91 , ZGRIR_ALV", IF(LEFT(Test!A355,1)="7", "AS " &amp; Test!A355, "AS " &amp; IF(Test!B355="",SUBSTITUTE(MID(Test!A355,FIND(",",Test!A355)+1,FIND(",",Test!A355,FIND(",",Test!A355)+1)-FIND(",",Test!A355)-1),"Cube ",""),LEFT(Test!B355,FIND(",",Test!B355)-1)))))</f>
        <v/>
      </c>
      <c r="B355" t="str">
        <f>IF(ISNUMBER(SEARCH("Query", Test!A355)), MID(Test!A355,FIND(",", Test!A355,FIND(",", Test!A355,FIND(",", Test!A355)+1)+1)+1, FIND(",", Test!A355,FIND(",", Test!A355,FIND(",", Test!A355,FIND(",", Test!A355)+1)+1)+1)-FIND(",", Test!A355,FIND(",", Test!A355,FIND(",", Test!A355)+1)+1)-1), IF(Test!B355&lt;&gt;"",MID(Test!B355,FIND(",",Test!B355)+1,FIND(",",Test!B355,FIND(",",Test!B355)+1)-FIND(",",Test!B355)-1),IF(Test!A355&lt;&gt;"",MID(Test!A355,FIND(",",Test!A355,FIND(",",Test!A355)+1)+1,FIND(",",Test!A355,FIND(",",Test!A355,FIND(",",Test!A355)+1)+1)-FIND(",",Test!A355,FIND(",",Test!A355)+1)-1),"")))</f>
        <v/>
      </c>
      <c r="C355" t="str">
        <f>IF(ISNUMBER(FIND("Query",Test!A355)),RIGHT(Test!A355,LEN(Test!A355)-FIND(",",Test!A355,FIND(",",Test!A355,FIND(",",Test!A355,FIND(",",Test!A355)+1)+1)+1)),IF(Test!B355&lt;&gt;"",RIGHT(Test!B355,LEN(Test!B355)-FIND(",",Test!B355,FIND(",",Test!B355)+1)),IF(Test!A355&lt;&gt;"",MID(Test!A355,FIND(",",Test!A355,FIND(",",Test!A355,FIND(",",Test!A355)+1)+1)+1,LEN(Test!A355)-FIND(",",Test!A355,FIND(",",Test!A355,FIND(",",Test!A355)+1)+1)),""))) &amp; IF(Test!C355&lt;&gt;"", " " &amp; SUBSTITUTE(Test!C355,"-",""), "")</f>
        <v/>
      </c>
    </row>
    <row r="356" spans="1:3" x14ac:dyDescent="0.25">
      <c r="A356" t="str">
        <f>IF(Test!A356="", "", IF(ISNUMBER(FIND("Query",Test!A356)), "AS Query ZMMIMR91 , ZGRIR_ALV", IF(LEFT(Test!A356,1)="7", "AS " &amp; Test!A356, "AS " &amp; IF(Test!B356="",SUBSTITUTE(MID(Test!A356,FIND(",",Test!A356)+1,FIND(",",Test!A356,FIND(",",Test!A356)+1)-FIND(",",Test!A356)-1),"Cube ",""),LEFT(Test!B356,FIND(",",Test!B356)-1)))))</f>
        <v/>
      </c>
      <c r="B356" t="str">
        <f>IF(ISNUMBER(SEARCH("Query", Test!A356)), MID(Test!A356,FIND(",", Test!A356,FIND(",", Test!A356,FIND(",", Test!A356)+1)+1)+1, FIND(",", Test!A356,FIND(",", Test!A356,FIND(",", Test!A356,FIND(",", Test!A356)+1)+1)+1)-FIND(",", Test!A356,FIND(",", Test!A356,FIND(",", Test!A356)+1)+1)-1), IF(Test!B356&lt;&gt;"",MID(Test!B356,FIND(",",Test!B356)+1,FIND(",",Test!B356,FIND(",",Test!B356)+1)-FIND(",",Test!B356)-1),IF(Test!A356&lt;&gt;"",MID(Test!A356,FIND(",",Test!A356,FIND(",",Test!A356)+1)+1,FIND(",",Test!A356,FIND(",",Test!A356,FIND(",",Test!A356)+1)+1)-FIND(",",Test!A356,FIND(",",Test!A356)+1)-1),"")))</f>
        <v/>
      </c>
      <c r="C356" t="str">
        <f>IF(ISNUMBER(FIND("Query",Test!A356)),RIGHT(Test!A356,LEN(Test!A356)-FIND(",",Test!A356,FIND(",",Test!A356,FIND(",",Test!A356,FIND(",",Test!A356)+1)+1)+1)),IF(Test!B356&lt;&gt;"",RIGHT(Test!B356,LEN(Test!B356)-FIND(",",Test!B356,FIND(",",Test!B356)+1)),IF(Test!A356&lt;&gt;"",MID(Test!A356,FIND(",",Test!A356,FIND(",",Test!A356,FIND(",",Test!A356)+1)+1)+1,LEN(Test!A356)-FIND(",",Test!A356,FIND(",",Test!A356,FIND(",",Test!A356)+1)+1)),""))) &amp; IF(Test!C356&lt;&gt;"", " " &amp; SUBSTITUTE(Test!C356,"-",""), "")</f>
        <v/>
      </c>
    </row>
    <row r="357" spans="1:3" x14ac:dyDescent="0.25">
      <c r="A357" t="str">
        <f>IF(Test!A357="", "", IF(ISNUMBER(FIND("Query",Test!A357)), "AS Query ZMMIMR91 , ZGRIR_ALV", IF(LEFT(Test!A357,1)="7", "AS " &amp; Test!A357, "AS " &amp; IF(Test!B357="",SUBSTITUTE(MID(Test!A357,FIND(",",Test!A357)+1,FIND(",",Test!A357,FIND(",",Test!A357)+1)-FIND(",",Test!A357)-1),"Cube ",""),LEFT(Test!B357,FIND(",",Test!B357)-1)))))</f>
        <v/>
      </c>
      <c r="B357" t="str">
        <f>IF(ISNUMBER(SEARCH("Query", Test!A357)), MID(Test!A357,FIND(",", Test!A357,FIND(",", Test!A357,FIND(",", Test!A357)+1)+1)+1, FIND(",", Test!A357,FIND(",", Test!A357,FIND(",", Test!A357,FIND(",", Test!A357)+1)+1)+1)-FIND(",", Test!A357,FIND(",", Test!A357,FIND(",", Test!A357)+1)+1)-1), IF(Test!B357&lt;&gt;"",MID(Test!B357,FIND(",",Test!B357)+1,FIND(",",Test!B357,FIND(",",Test!B357)+1)-FIND(",",Test!B357)-1),IF(Test!A357&lt;&gt;"",MID(Test!A357,FIND(",",Test!A357,FIND(",",Test!A357)+1)+1,FIND(",",Test!A357,FIND(",",Test!A357,FIND(",",Test!A357)+1)+1)-FIND(",",Test!A357,FIND(",",Test!A357)+1)-1),"")))</f>
        <v/>
      </c>
      <c r="C357" t="str">
        <f>IF(ISNUMBER(FIND("Query",Test!A357)),RIGHT(Test!A357,LEN(Test!A357)-FIND(",",Test!A357,FIND(",",Test!A357,FIND(",",Test!A357,FIND(",",Test!A357)+1)+1)+1)),IF(Test!B357&lt;&gt;"",RIGHT(Test!B357,LEN(Test!B357)-FIND(",",Test!B357,FIND(",",Test!B357)+1)),IF(Test!A357&lt;&gt;"",MID(Test!A357,FIND(",",Test!A357,FIND(",",Test!A357,FIND(",",Test!A357)+1)+1)+1,LEN(Test!A357)-FIND(",",Test!A357,FIND(",",Test!A357,FIND(",",Test!A357)+1)+1)),""))) &amp; IF(Test!C357&lt;&gt;"", " " &amp; SUBSTITUTE(Test!C357,"-",""), "")</f>
        <v/>
      </c>
    </row>
    <row r="358" spans="1:3" x14ac:dyDescent="0.25">
      <c r="A358" t="str">
        <f>IF(Test!A358="", "", IF(ISNUMBER(FIND("Query",Test!A358)), "AS Query ZMMIMR91 , ZGRIR_ALV", IF(LEFT(Test!A358,1)="7", "AS " &amp; Test!A358, "AS " &amp; IF(Test!B358="",SUBSTITUTE(MID(Test!A358,FIND(",",Test!A358)+1,FIND(",",Test!A358,FIND(",",Test!A358)+1)-FIND(",",Test!A358)-1),"Cube ",""),LEFT(Test!B358,FIND(",",Test!B358)-1)))))</f>
        <v/>
      </c>
      <c r="B358" t="str">
        <f>IF(ISNUMBER(SEARCH("Query", Test!A358)), MID(Test!A358,FIND(",", Test!A358,FIND(",", Test!A358,FIND(",", Test!A358)+1)+1)+1, FIND(",", Test!A358,FIND(",", Test!A358,FIND(",", Test!A358,FIND(",", Test!A358)+1)+1)+1)-FIND(",", Test!A358,FIND(",", Test!A358,FIND(",", Test!A358)+1)+1)-1), IF(Test!B358&lt;&gt;"",MID(Test!B358,FIND(",",Test!B358)+1,FIND(",",Test!B358,FIND(",",Test!B358)+1)-FIND(",",Test!B358)-1),IF(Test!A358&lt;&gt;"",MID(Test!A358,FIND(",",Test!A358,FIND(",",Test!A358)+1)+1,FIND(",",Test!A358,FIND(",",Test!A358,FIND(",",Test!A358)+1)+1)-FIND(",",Test!A358,FIND(",",Test!A358)+1)-1),"")))</f>
        <v/>
      </c>
      <c r="C358" t="str">
        <f>IF(ISNUMBER(FIND("Query",Test!A358)),RIGHT(Test!A358,LEN(Test!A358)-FIND(",",Test!A358,FIND(",",Test!A358,FIND(",",Test!A358,FIND(",",Test!A358)+1)+1)+1)),IF(Test!B358&lt;&gt;"",RIGHT(Test!B358,LEN(Test!B358)-FIND(",",Test!B358,FIND(",",Test!B358)+1)),IF(Test!A358&lt;&gt;"",MID(Test!A358,FIND(",",Test!A358,FIND(",",Test!A358,FIND(",",Test!A358)+1)+1)+1,LEN(Test!A358)-FIND(",",Test!A358,FIND(",",Test!A358,FIND(",",Test!A358)+1)+1)),""))) &amp; IF(Test!C358&lt;&gt;"", " " &amp; SUBSTITUTE(Test!C358,"-",""), "")</f>
        <v/>
      </c>
    </row>
    <row r="359" spans="1:3" x14ac:dyDescent="0.25">
      <c r="A359" t="str">
        <f>IF(Test!A359="", "", IF(ISNUMBER(FIND("Query",Test!A359)), "AS Query ZMMIMR91 , ZGRIR_ALV", IF(LEFT(Test!A359,1)="7", "AS " &amp; Test!A359, "AS " &amp; IF(Test!B359="",SUBSTITUTE(MID(Test!A359,FIND(",",Test!A359)+1,FIND(",",Test!A359,FIND(",",Test!A359)+1)-FIND(",",Test!A359)-1),"Cube ",""),LEFT(Test!B359,FIND(",",Test!B359)-1)))))</f>
        <v/>
      </c>
      <c r="B359" t="str">
        <f>IF(ISNUMBER(SEARCH("Query", Test!A359)), MID(Test!A359,FIND(",", Test!A359,FIND(",", Test!A359,FIND(",", Test!A359)+1)+1)+1, FIND(",", Test!A359,FIND(",", Test!A359,FIND(",", Test!A359,FIND(",", Test!A359)+1)+1)+1)-FIND(",", Test!A359,FIND(",", Test!A359,FIND(",", Test!A359)+1)+1)-1), IF(Test!B359&lt;&gt;"",MID(Test!B359,FIND(",",Test!B359)+1,FIND(",",Test!B359,FIND(",",Test!B359)+1)-FIND(",",Test!B359)-1),IF(Test!A359&lt;&gt;"",MID(Test!A359,FIND(",",Test!A359,FIND(",",Test!A359)+1)+1,FIND(",",Test!A359,FIND(",",Test!A359,FIND(",",Test!A359)+1)+1)-FIND(",",Test!A359,FIND(",",Test!A359)+1)-1),"")))</f>
        <v/>
      </c>
      <c r="C359" t="str">
        <f>IF(ISNUMBER(FIND("Query",Test!A359)),RIGHT(Test!A359,LEN(Test!A359)-FIND(",",Test!A359,FIND(",",Test!A359,FIND(",",Test!A359,FIND(",",Test!A359)+1)+1)+1)),IF(Test!B359&lt;&gt;"",RIGHT(Test!B359,LEN(Test!B359)-FIND(",",Test!B359,FIND(",",Test!B359)+1)),IF(Test!A359&lt;&gt;"",MID(Test!A359,FIND(",",Test!A359,FIND(",",Test!A359,FIND(",",Test!A359)+1)+1)+1,LEN(Test!A359)-FIND(",",Test!A359,FIND(",",Test!A359,FIND(",",Test!A359)+1)+1)),""))) &amp; IF(Test!C359&lt;&gt;"", " " &amp; SUBSTITUTE(Test!C359,"-",""), "")</f>
        <v/>
      </c>
    </row>
    <row r="360" spans="1:3" x14ac:dyDescent="0.25">
      <c r="A360" t="str">
        <f>IF(Test!A360="", "", IF(ISNUMBER(FIND("Query",Test!A360)), "AS Query ZMMIMR91 , ZGRIR_ALV", IF(LEFT(Test!A360,1)="7", "AS " &amp; Test!A360, "AS " &amp; IF(Test!B360="",SUBSTITUTE(MID(Test!A360,FIND(",",Test!A360)+1,FIND(",",Test!A360,FIND(",",Test!A360)+1)-FIND(",",Test!A360)-1),"Cube ",""),LEFT(Test!B360,FIND(",",Test!B360)-1)))))</f>
        <v/>
      </c>
      <c r="B360" t="str">
        <f>IF(ISNUMBER(SEARCH("Query", Test!A360)), MID(Test!A360,FIND(",", Test!A360,FIND(",", Test!A360,FIND(",", Test!A360)+1)+1)+1, FIND(",", Test!A360,FIND(",", Test!A360,FIND(",", Test!A360,FIND(",", Test!A360)+1)+1)+1)-FIND(",", Test!A360,FIND(",", Test!A360,FIND(",", Test!A360)+1)+1)-1), IF(Test!B360&lt;&gt;"",MID(Test!B360,FIND(",",Test!B360)+1,FIND(",",Test!B360,FIND(",",Test!B360)+1)-FIND(",",Test!B360)-1),IF(Test!A360&lt;&gt;"",MID(Test!A360,FIND(",",Test!A360,FIND(",",Test!A360)+1)+1,FIND(",",Test!A360,FIND(",",Test!A360,FIND(",",Test!A360)+1)+1)-FIND(",",Test!A360,FIND(",",Test!A360)+1)-1),"")))</f>
        <v/>
      </c>
      <c r="C360" t="str">
        <f>IF(ISNUMBER(FIND("Query",Test!A360)),RIGHT(Test!A360,LEN(Test!A360)-FIND(",",Test!A360,FIND(",",Test!A360,FIND(",",Test!A360,FIND(",",Test!A360)+1)+1)+1)),IF(Test!B360&lt;&gt;"",RIGHT(Test!B360,LEN(Test!B360)-FIND(",",Test!B360,FIND(",",Test!B360)+1)),IF(Test!A360&lt;&gt;"",MID(Test!A360,FIND(",",Test!A360,FIND(",",Test!A360,FIND(",",Test!A360)+1)+1)+1,LEN(Test!A360)-FIND(",",Test!A360,FIND(",",Test!A360,FIND(",",Test!A360)+1)+1)),""))) &amp; IF(Test!C360&lt;&gt;"", " " &amp; SUBSTITUTE(Test!C360,"-",""), 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6B76B-A55B-424E-B96B-14EC35470FA6}">
  <dimension ref="A1"/>
  <sheetViews>
    <sheetView tabSelected="1" workbookViewId="0">
      <selection activeCell="A12" sqref="A12"/>
    </sheetView>
  </sheetViews>
  <sheetFormatPr defaultRowHeight="13.8" x14ac:dyDescent="0.25"/>
  <cols>
    <col min="1" max="1" width="60.296875" bestFit="1" customWidth="1"/>
    <col min="2" max="2" width="36.29687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F9D80-DFF9-4E6A-B831-87443C199F0F}">
  <sheetPr codeName="Sheet8"/>
  <dimension ref="A1"/>
  <sheetViews>
    <sheetView workbookViewId="0"/>
  </sheetViews>
  <sheetFormatPr defaultRowHeight="13.8" x14ac:dyDescent="0.25"/>
  <cols>
    <col min="1" max="1" width="67.19921875" bestFit="1" customWidth="1"/>
    <col min="2" max="2" width="53" bestFit="1" customWidth="1"/>
  </cols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27F10-12E4-482A-A67F-970EBE010BF9}">
  <sheetPr codeName="Sheet1"/>
  <dimension ref="A1:F55"/>
  <sheetViews>
    <sheetView workbookViewId="0">
      <selection activeCell="D9" sqref="D9"/>
    </sheetView>
  </sheetViews>
  <sheetFormatPr defaultRowHeight="13.8" x14ac:dyDescent="0.25"/>
  <cols>
    <col min="1" max="1" width="39.19921875" bestFit="1" customWidth="1"/>
    <col min="2" max="2" width="19.69921875" bestFit="1" customWidth="1"/>
    <col min="3" max="4" width="24.59765625" bestFit="1" customWidth="1"/>
  </cols>
  <sheetData>
    <row r="1" spans="1:6" x14ac:dyDescent="0.25">
      <c r="A1" s="2" t="s">
        <v>0</v>
      </c>
      <c r="B1" s="2" t="s">
        <v>1</v>
      </c>
      <c r="D1" s="2" t="s">
        <v>2</v>
      </c>
      <c r="F1" s="2" t="s">
        <v>3</v>
      </c>
    </row>
    <row r="3" spans="1:6" x14ac:dyDescent="0.25">
      <c r="C3" t="e">
        <f>IF(OR(#REF!="",#REF!="สิทธิ์ที่ขอ"),"",RIGHT(#REF!, LEN(#REF!) - FIND(" ",#REF!, LEN(#REF!) - LEN(#REF!) + 1)))</f>
        <v>#REF!</v>
      </c>
      <c r="D3" t="e">
        <f t="shared" ref="D3:D30" si="0">IF(C3="", "", IF(ISNUMBER(SEARCH("-", C3)), "", C3))</f>
        <v>#REF!</v>
      </c>
      <c r="F3" t="str">
        <f>IF(PlantList!A2="", "", LEFT(SUBSTITUTE(PlantList!A2, "-", ""), 4))</f>
        <v/>
      </c>
    </row>
    <row r="4" spans="1:6" x14ac:dyDescent="0.25">
      <c r="C4" t="e">
        <f>IF(OR(#REF!="",#REF!="สิทธิ์ที่ขอ"),"",RIGHT(#REF!, LEN(#REF!) - FIND(" ",#REF!, LEN(#REF!) - LEN(#REF!) + 1)))</f>
        <v>#REF!</v>
      </c>
      <c r="D4" t="e">
        <f t="shared" si="0"/>
        <v>#REF!</v>
      </c>
      <c r="F4" t="str">
        <f>IF(PlantList!A3="", "", LEFT(SUBSTITUTE(PlantList!A3, "-", ""), 4))</f>
        <v/>
      </c>
    </row>
    <row r="5" spans="1:6" x14ac:dyDescent="0.25">
      <c r="C5" t="e">
        <f>IF(OR(#REF!="",#REF!="สิทธิ์ที่ขอ"),"",RIGHT(#REF!, LEN(#REF!) - FIND(" ",#REF!, LEN(#REF!) - LEN(#REF!) + 1)))</f>
        <v>#REF!</v>
      </c>
      <c r="D5" t="e">
        <f t="shared" si="0"/>
        <v>#REF!</v>
      </c>
      <c r="F5" t="str">
        <f>IF(PlantList!A4="", "", LEFT(SUBSTITUTE(PlantList!A4, "-", ""), 4))</f>
        <v/>
      </c>
    </row>
    <row r="6" spans="1:6" x14ac:dyDescent="0.25">
      <c r="C6" t="e">
        <f>IF(OR(#REF!="",#REF!="สิทธิ์ที่ขอ"),"",RIGHT(#REF!, LEN(#REF!) - FIND(" ",#REF!, LEN(#REF!) - LEN(#REF!) + 1)))</f>
        <v>#REF!</v>
      </c>
      <c r="D6" t="e">
        <f t="shared" si="0"/>
        <v>#REF!</v>
      </c>
      <c r="F6" t="str">
        <f>IF(PlantList!A5="", "", LEFT(SUBSTITUTE(PlantList!A5, "-", ""), 4))</f>
        <v/>
      </c>
    </row>
    <row r="7" spans="1:6" x14ac:dyDescent="0.25">
      <c r="C7" t="e">
        <f>IF(OR(#REF!="",#REF!="สิทธิ์ที่ขอ"),"",RIGHT(#REF!, LEN(#REF!) - FIND(" ",#REF!, LEN(#REF!) - LEN(#REF!) + 1)))</f>
        <v>#REF!</v>
      </c>
      <c r="D7" t="e">
        <f t="shared" si="0"/>
        <v>#REF!</v>
      </c>
      <c r="F7" t="str">
        <f>IF(PlantList!A6="", "", LEFT(SUBSTITUTE(PlantList!A6, "-", ""), 4))</f>
        <v/>
      </c>
    </row>
    <row r="8" spans="1:6" x14ac:dyDescent="0.25">
      <c r="C8" t="e">
        <f>IF(OR(#REF!="",#REF!="สิทธิ์ที่ขอ"),"",RIGHT(#REF!, LEN(#REF!) - FIND(" ",#REF!, LEN(#REF!) - LEN(#REF!) + 1)))</f>
        <v>#REF!</v>
      </c>
      <c r="D8" t="e">
        <f t="shared" si="0"/>
        <v>#REF!</v>
      </c>
      <c r="F8" t="str">
        <f>IF(PlantList!A7="", "", LEFT(SUBSTITUTE(PlantList!A7, "-", ""), 4))</f>
        <v/>
      </c>
    </row>
    <row r="9" spans="1:6" x14ac:dyDescent="0.25">
      <c r="C9" t="e">
        <f>IF(OR(#REF!="",#REF!="สิทธิ์ที่ขอ"),"",RIGHT(#REF!, LEN(#REF!) - FIND(" ",#REF!, LEN(#REF!) - LEN(#REF!) + 1)))</f>
        <v>#REF!</v>
      </c>
      <c r="D9" t="e">
        <f t="shared" si="0"/>
        <v>#REF!</v>
      </c>
      <c r="F9" t="str">
        <f>IF(PlantList!A8="", "", LEFT(SUBSTITUTE(PlantList!A8, "-", ""), 4))</f>
        <v/>
      </c>
    </row>
    <row r="10" spans="1:6" x14ac:dyDescent="0.25">
      <c r="C10" t="e">
        <f>IF(OR(#REF!="",#REF!="สิทธิ์ที่ขอ"),"",RIGHT(#REF!, LEN(#REF!) - FIND(" ",#REF!, LEN(#REF!) - LEN(#REF!) + 1)))</f>
        <v>#REF!</v>
      </c>
      <c r="D10" t="e">
        <f t="shared" si="0"/>
        <v>#REF!</v>
      </c>
      <c r="F10" t="str">
        <f>IF(PlantList!A9="", "", LEFT(SUBSTITUTE(PlantList!A9, "-", ""), 4))</f>
        <v/>
      </c>
    </row>
    <row r="11" spans="1:6" x14ac:dyDescent="0.25">
      <c r="C11" t="e">
        <f>IF(OR(#REF!="",#REF!="สิทธิ์ที่ขอ"),"",RIGHT(#REF!, LEN(#REF!) - FIND(" ",#REF!, LEN(#REF!) - LEN(#REF!) + 1)))</f>
        <v>#REF!</v>
      </c>
      <c r="D11" t="e">
        <f t="shared" si="0"/>
        <v>#REF!</v>
      </c>
      <c r="F11" t="str">
        <f>IF(PlantList!A10="", "", LEFT(SUBSTITUTE(PlantList!A10, "-", ""), 4))</f>
        <v/>
      </c>
    </row>
    <row r="12" spans="1:6" x14ac:dyDescent="0.25">
      <c r="C12" t="e">
        <f>IF(OR(#REF!="",#REF!="สิทธิ์ที่ขอ"),"",RIGHT(#REF!, LEN(#REF!) - FIND(" ",#REF!, LEN(#REF!) - LEN(#REF!) + 1)))</f>
        <v>#REF!</v>
      </c>
      <c r="D12" t="e">
        <f t="shared" si="0"/>
        <v>#REF!</v>
      </c>
      <c r="F12" t="str">
        <f>IF(PlantList!A11="", "", LEFT(SUBSTITUTE(PlantList!A11, "-", ""), 4))</f>
        <v/>
      </c>
    </row>
    <row r="13" spans="1:6" x14ac:dyDescent="0.25">
      <c r="C13" t="e">
        <f>IF(OR(#REF!="",#REF!="สิทธิ์ที่ขอ"),"",RIGHT(#REF!, LEN(#REF!) - FIND(" ",#REF!, LEN(#REF!) - LEN(#REF!) + 1)))</f>
        <v>#REF!</v>
      </c>
      <c r="D13" t="e">
        <f t="shared" si="0"/>
        <v>#REF!</v>
      </c>
      <c r="F13" t="str">
        <f>IF(PlantList!A12="", "", LEFT(SUBSTITUTE(PlantList!A12, "-", ""), 4))</f>
        <v/>
      </c>
    </row>
    <row r="14" spans="1:6" x14ac:dyDescent="0.25">
      <c r="C14" t="e">
        <f>IF(OR(#REF!="",#REF!="สิทธิ์ที่ขอ"),"",RIGHT(#REF!, LEN(#REF!) - FIND(" ",#REF!, LEN(#REF!) - LEN(#REF!) + 1)))</f>
        <v>#REF!</v>
      </c>
      <c r="D14" t="e">
        <f t="shared" si="0"/>
        <v>#REF!</v>
      </c>
      <c r="F14" t="str">
        <f>IF(PlantList!A13="", "", LEFT(SUBSTITUTE(PlantList!A13, "-", ""), 4))</f>
        <v/>
      </c>
    </row>
    <row r="15" spans="1:6" x14ac:dyDescent="0.25">
      <c r="C15" t="e">
        <f>IF(OR(#REF!="",#REF!="สิทธิ์ที่ขอ"),"",RIGHT(#REF!, LEN(#REF!) - FIND(" ",#REF!, LEN(#REF!) - LEN(#REF!) + 1)))</f>
        <v>#REF!</v>
      </c>
      <c r="D15" t="e">
        <f t="shared" si="0"/>
        <v>#REF!</v>
      </c>
      <c r="F15" t="str">
        <f>IF(PlantList!A14="", "", LEFT(SUBSTITUTE(PlantList!A14, "-", ""), 4))</f>
        <v/>
      </c>
    </row>
    <row r="16" spans="1:6" x14ac:dyDescent="0.25">
      <c r="C16" t="e">
        <f>IF(OR(#REF!="",#REF!="สิทธิ์ที่ขอ"),"",RIGHT(#REF!, LEN(#REF!) - FIND(" ",#REF!, LEN(#REF!) - LEN(#REF!) + 1)))</f>
        <v>#REF!</v>
      </c>
      <c r="D16" t="e">
        <f t="shared" si="0"/>
        <v>#REF!</v>
      </c>
      <c r="F16" t="str">
        <f>IF(PlantList!A15="", "", LEFT(SUBSTITUTE(PlantList!A15, "-", ""), 4))</f>
        <v/>
      </c>
    </row>
    <row r="17" spans="3:6" x14ac:dyDescent="0.25">
      <c r="C17" t="e">
        <f>IF(OR(#REF!="",#REF!="สิทธิ์ที่ขอ"),"",RIGHT(#REF!, LEN(#REF!) - FIND(" ",#REF!, LEN(#REF!) - LEN(#REF!) + 1)))</f>
        <v>#REF!</v>
      </c>
      <c r="D17" t="e">
        <f t="shared" si="0"/>
        <v>#REF!</v>
      </c>
      <c r="F17" t="str">
        <f>IF(PlantList!A16="", "", LEFT(SUBSTITUTE(PlantList!A16, "-", ""), 4))</f>
        <v/>
      </c>
    </row>
    <row r="18" spans="3:6" x14ac:dyDescent="0.25">
      <c r="C18" t="e">
        <f>IF(OR(#REF!="",#REF!="สิทธิ์ที่ขอ"),"",RIGHT(#REF!, LEN(#REF!) - FIND(" ",#REF!, LEN(#REF!) - LEN(#REF!) + 1)))</f>
        <v>#REF!</v>
      </c>
      <c r="D18" t="e">
        <f t="shared" si="0"/>
        <v>#REF!</v>
      </c>
      <c r="F18" t="str">
        <f>IF(PlantList!A17="", "", LEFT(SUBSTITUTE(PlantList!A17, "-", ""), 4))</f>
        <v/>
      </c>
    </row>
    <row r="19" spans="3:6" x14ac:dyDescent="0.25">
      <c r="C19" t="e">
        <f>IF(OR(#REF!="",#REF!="สิทธิ์ที่ขอ"),"",RIGHT(#REF!, LEN(#REF!) - FIND(" ",#REF!, LEN(#REF!) - LEN(#REF!) + 1)))</f>
        <v>#REF!</v>
      </c>
      <c r="D19" t="e">
        <f t="shared" si="0"/>
        <v>#REF!</v>
      </c>
      <c r="F19" t="str">
        <f>IF(PlantList!A18="", "", LEFT(SUBSTITUTE(PlantList!A18, "-", ""), 4))</f>
        <v/>
      </c>
    </row>
    <row r="20" spans="3:6" x14ac:dyDescent="0.25">
      <c r="C20" t="e">
        <f>IF(OR(#REF!="",#REF!="สิทธิ์ที่ขอ"),"",RIGHT(#REF!, LEN(#REF!) - FIND(" ",#REF!, LEN(#REF!) - LEN(#REF!) + 1)))</f>
        <v>#REF!</v>
      </c>
      <c r="D20" t="e">
        <f t="shared" si="0"/>
        <v>#REF!</v>
      </c>
      <c r="F20" t="str">
        <f>IF(PlantList!A19="", "", LEFT(SUBSTITUTE(PlantList!A19, "-", ""), 4))</f>
        <v/>
      </c>
    </row>
    <row r="21" spans="3:6" x14ac:dyDescent="0.25">
      <c r="C21" t="e">
        <f>IF(OR(#REF!="",#REF!="สิทธิ์ที่ขอ"),"",RIGHT(#REF!, LEN(#REF!) - FIND(" ",#REF!, LEN(#REF!) - LEN(#REF!) + 1)))</f>
        <v>#REF!</v>
      </c>
      <c r="D21" t="e">
        <f t="shared" si="0"/>
        <v>#REF!</v>
      </c>
      <c r="F21" t="str">
        <f>IF(PlantList!A20="", "", LEFT(SUBSTITUTE(PlantList!A20, "-", ""), 4))</f>
        <v/>
      </c>
    </row>
    <row r="22" spans="3:6" x14ac:dyDescent="0.25">
      <c r="C22" t="e">
        <f>IF(OR(#REF!="",#REF!="สิทธิ์ที่ขอ"),"",RIGHT(#REF!, LEN(#REF!) - FIND(" ",#REF!, LEN(#REF!) - LEN(#REF!) + 1)))</f>
        <v>#REF!</v>
      </c>
      <c r="D22" t="e">
        <f t="shared" si="0"/>
        <v>#REF!</v>
      </c>
      <c r="F22" t="str">
        <f>IF(PlantList!A21="", "", LEFT(SUBSTITUTE(PlantList!A21, "-", ""), 4))</f>
        <v/>
      </c>
    </row>
    <row r="23" spans="3:6" x14ac:dyDescent="0.25">
      <c r="C23" t="e">
        <f>IF(OR(#REF!="",#REF!="สิทธิ์ที่ขอ"),"",RIGHT(#REF!, LEN(#REF!) - FIND(" ",#REF!, LEN(#REF!) - LEN(#REF!) + 1)))</f>
        <v>#REF!</v>
      </c>
      <c r="D23" t="e">
        <f t="shared" si="0"/>
        <v>#REF!</v>
      </c>
      <c r="F23" t="str">
        <f>IF(PlantList!A22="", "", LEFT(SUBSTITUTE(PlantList!A22, "-", ""), 4))</f>
        <v/>
      </c>
    </row>
    <row r="24" spans="3:6" x14ac:dyDescent="0.25">
      <c r="C24" t="e">
        <f>IF(OR(#REF!="",#REF!="สิทธิ์ที่ขอ"),"",RIGHT(#REF!, LEN(#REF!) - FIND(" ",#REF!, LEN(#REF!) - LEN(#REF!) + 1)))</f>
        <v>#REF!</v>
      </c>
      <c r="D24" t="e">
        <f t="shared" si="0"/>
        <v>#REF!</v>
      </c>
      <c r="F24" t="str">
        <f>IF(PlantList!A23="", "", LEFT(SUBSTITUTE(PlantList!A23, "-", ""), 4))</f>
        <v/>
      </c>
    </row>
    <row r="25" spans="3:6" x14ac:dyDescent="0.25">
      <c r="C25" t="e">
        <f>IF(OR(#REF!="",#REF!="สิทธิ์ที่ขอ"),"",RIGHT(#REF!, LEN(#REF!) - FIND(" ",#REF!, LEN(#REF!) - LEN(#REF!) + 1)))</f>
        <v>#REF!</v>
      </c>
      <c r="D25" t="e">
        <f t="shared" si="0"/>
        <v>#REF!</v>
      </c>
      <c r="E25" t="e">
        <f>IF(#REF!="", "", LEFT(SUBSTITUTE(#REF!, "-", ""), 4))</f>
        <v>#REF!</v>
      </c>
      <c r="F25" t="str">
        <f>IF(PlantList!A24="", "", LEFT(SUBSTITUTE(PlantList!A24, "-", ""), 4))</f>
        <v/>
      </c>
    </row>
    <row r="26" spans="3:6" x14ac:dyDescent="0.25">
      <c r="C26" t="e">
        <f>IF(OR(#REF!="",#REF!="สิทธิ์ที่ขอ"),"",RIGHT(#REF!, LEN(#REF!) - FIND(" ",#REF!, LEN(#REF!) - LEN(#REF!) + 1)))</f>
        <v>#REF!</v>
      </c>
      <c r="D26" t="e">
        <f t="shared" si="0"/>
        <v>#REF!</v>
      </c>
      <c r="E26" t="e">
        <f>IF(#REF!="", "", LEFT(SUBSTITUTE(#REF!, "-", ""), 4))</f>
        <v>#REF!</v>
      </c>
      <c r="F26" t="str">
        <f>IF(PlantList!A25="", "", LEFT(SUBSTITUTE(PlantList!A25, "-", ""), 4))</f>
        <v/>
      </c>
    </row>
    <row r="27" spans="3:6" x14ac:dyDescent="0.25">
      <c r="C27" t="e">
        <f>IF(OR(#REF!="",#REF!="สิทธิ์ที่ขอ"),"",RIGHT(#REF!, LEN(#REF!) - FIND(" ",#REF!, LEN(#REF!) - LEN(#REF!) + 1)))</f>
        <v>#REF!</v>
      </c>
      <c r="D27" t="e">
        <f t="shared" si="0"/>
        <v>#REF!</v>
      </c>
      <c r="E27" t="e">
        <f>IF(#REF!="", "", LEFT(SUBSTITUTE(#REF!, "-", ""), 4))</f>
        <v>#REF!</v>
      </c>
      <c r="F27" t="str">
        <f>IF(PlantList!A26="", "", LEFT(SUBSTITUTE(PlantList!A26, "-", ""), 4))</f>
        <v/>
      </c>
    </row>
    <row r="28" spans="3:6" x14ac:dyDescent="0.25">
      <c r="C28" t="e">
        <f>IF(OR(#REF!="",#REF!="สิทธิ์ที่ขอ"),"",RIGHT(#REF!, LEN(#REF!) - FIND(" ",#REF!, LEN(#REF!) - LEN(#REF!) + 1)))</f>
        <v>#REF!</v>
      </c>
      <c r="D28" t="e">
        <f t="shared" si="0"/>
        <v>#REF!</v>
      </c>
      <c r="F28" t="str">
        <f>IF(PlantList!A27="", "", LEFT(SUBSTITUTE(PlantList!A27, "-", ""), 4))</f>
        <v/>
      </c>
    </row>
    <row r="29" spans="3:6" x14ac:dyDescent="0.25">
      <c r="C29" t="e">
        <f>IF(OR(#REF!="",#REF!="สิทธิ์ที่ขอ"),"",RIGHT(#REF!, LEN(#REF!) - FIND(" ",#REF!, LEN(#REF!) - LEN(#REF!) + 1)))</f>
        <v>#REF!</v>
      </c>
      <c r="D29" t="e">
        <f t="shared" si="0"/>
        <v>#REF!</v>
      </c>
      <c r="F29" t="str">
        <f>IF(PlantList!A28="", "", LEFT(SUBSTITUTE(PlantList!A28, "-", ""), 4))</f>
        <v/>
      </c>
    </row>
    <row r="30" spans="3:6" x14ac:dyDescent="0.25">
      <c r="C30" t="e">
        <f>IF(OR(#REF!="",#REF!="สิทธิ์ที่ขอ"),"",RIGHT(#REF!, LEN(#REF!) - FIND(" ",#REF!, LEN(#REF!) - LEN(#REF!) + 1)))</f>
        <v>#REF!</v>
      </c>
      <c r="D30" t="e">
        <f t="shared" si="0"/>
        <v>#REF!</v>
      </c>
      <c r="F30" t="str">
        <f>IF(PlantList!A29="", "", LEFT(SUBSTITUTE(PlantList!A29, "-", ""), 4))</f>
        <v/>
      </c>
    </row>
    <row r="31" spans="3:6" x14ac:dyDescent="0.25">
      <c r="C31" t="e">
        <f>IF(OR(#REF!="",#REF!="สิทธิ์ที่ขอ"),"",RIGHT(#REF!, LEN(#REF!) - FIND(" ",#REF!, LEN(#REF!) - LEN(#REF!) + 1)))</f>
        <v>#REF!</v>
      </c>
      <c r="F31" t="str">
        <f>IF(PlantList!A30="", "", LEFT(SUBSTITUTE(PlantList!A30, "-", ""), 4))</f>
        <v/>
      </c>
    </row>
    <row r="32" spans="3:6" x14ac:dyDescent="0.25">
      <c r="C32" t="e">
        <f>IF(OR(#REF!="",#REF!="สิทธิ์ที่ขอ"),"",RIGHT(#REF!, LEN(#REF!) - FIND(" ",#REF!, LEN(#REF!) - LEN(#REF!) + 1)))</f>
        <v>#REF!</v>
      </c>
      <c r="F32" t="str">
        <f>IF(PlantList!A31="", "", LEFT(SUBSTITUTE(PlantList!A31, "-", ""), 4))</f>
        <v/>
      </c>
    </row>
    <row r="33" spans="3:6" x14ac:dyDescent="0.25">
      <c r="C33" t="e">
        <f>IF(OR(#REF!="",#REF!="สิทธิ์ที่ขอ"),"",RIGHT(#REF!, LEN(#REF!) - FIND(" ",#REF!, LEN(#REF!) - LEN(#REF!) + 1)))</f>
        <v>#REF!</v>
      </c>
      <c r="F33" t="str">
        <f>IF(PlantList!A32="", "", LEFT(SUBSTITUTE(PlantList!A32, "-", ""), 4))</f>
        <v/>
      </c>
    </row>
    <row r="34" spans="3:6" x14ac:dyDescent="0.25">
      <c r="C34" t="e">
        <f>IF(OR(#REF!="",#REF!="สิทธิ์ที่ขอ"),"",RIGHT(#REF!, LEN(#REF!) - FIND(" ",#REF!, LEN(#REF!) - LEN(#REF!) + 1)))</f>
        <v>#REF!</v>
      </c>
      <c r="F34" t="str">
        <f>IF(PlantList!A33="", "", LEFT(SUBSTITUTE(PlantList!A33, "-", ""), 4))</f>
        <v/>
      </c>
    </row>
    <row r="35" spans="3:6" x14ac:dyDescent="0.25">
      <c r="C35" t="e">
        <f>IF(OR(#REF!="",#REF!="สิทธิ์ที่ขอ"),"",RIGHT(#REF!, LEN(#REF!) - FIND(" ",#REF!, LEN(#REF!) - LEN(#REF!) + 1)))</f>
        <v>#REF!</v>
      </c>
      <c r="F35" t="str">
        <f>IF(PlantList!A34="", "", LEFT(SUBSTITUTE(PlantList!A34, "-", ""), 4))</f>
        <v/>
      </c>
    </row>
    <row r="36" spans="3:6" x14ac:dyDescent="0.25">
      <c r="C36" t="e">
        <f>IF(OR(#REF!="",#REF!="สิทธิ์ที่ขอ"),"",RIGHT(#REF!, LEN(#REF!) - FIND(" ",#REF!, LEN(#REF!) - LEN(#REF!) + 1)))</f>
        <v>#REF!</v>
      </c>
      <c r="F36" t="str">
        <f>IF(PlantList!A35="", "", LEFT(SUBSTITUTE(PlantList!A35, "-", ""), 4))</f>
        <v/>
      </c>
    </row>
    <row r="37" spans="3:6" x14ac:dyDescent="0.25">
      <c r="C37" t="e">
        <f>IF(OR(#REF!="",#REF!="สิทธิ์ที่ขอ"),"",RIGHT(#REF!, LEN(#REF!) - FIND(" ",#REF!, LEN(#REF!) - LEN(#REF!) + 1)))</f>
        <v>#REF!</v>
      </c>
      <c r="F37" t="str">
        <f>IF(PlantList!A36="", "", LEFT(SUBSTITUTE(PlantList!A36, "-", ""), 4))</f>
        <v/>
      </c>
    </row>
    <row r="38" spans="3:6" x14ac:dyDescent="0.25">
      <c r="C38" t="e">
        <f>IF(OR(#REF!="",#REF!="สิทธิ์ที่ขอ"),"",RIGHT(#REF!, LEN(#REF!) - FIND(" ",#REF!, LEN(#REF!) - LEN(#REF!) + 1)))</f>
        <v>#REF!</v>
      </c>
      <c r="F38" t="str">
        <f>IF(PlantList!A37="", "", LEFT(SUBSTITUTE(PlantList!A37, "-", ""), 4))</f>
        <v/>
      </c>
    </row>
    <row r="39" spans="3:6" x14ac:dyDescent="0.25">
      <c r="C39" t="e">
        <f>IF(OR(#REF!="",#REF!="สิทธิ์ที่ขอ"),"",RIGHT(#REF!, LEN(#REF!) - FIND(" ",#REF!, LEN(#REF!) - LEN(#REF!) + 1)))</f>
        <v>#REF!</v>
      </c>
      <c r="F39" t="str">
        <f>IF(PlantList!A38="", "", LEFT(SUBSTITUTE(PlantList!A38, "-", ""), 4))</f>
        <v/>
      </c>
    </row>
    <row r="40" spans="3:6" x14ac:dyDescent="0.25">
      <c r="F40" t="str">
        <f>IF(PlantList!A39="", "", LEFT(SUBSTITUTE(PlantList!A39, "-", ""), 4))</f>
        <v/>
      </c>
    </row>
    <row r="41" spans="3:6" x14ac:dyDescent="0.25">
      <c r="F41" t="str">
        <f>IF(PlantList!A40="", "", LEFT(SUBSTITUTE(PlantList!A40, "-", ""), 4))</f>
        <v/>
      </c>
    </row>
    <row r="42" spans="3:6" x14ac:dyDescent="0.25">
      <c r="F42" t="str">
        <f>IF(PlantList!A41="", "", LEFT(SUBSTITUTE(PlantList!A41, "-", ""), 4))</f>
        <v/>
      </c>
    </row>
    <row r="43" spans="3:6" x14ac:dyDescent="0.25">
      <c r="F43" t="str">
        <f>IF(PlantList!A42="", "", LEFT(SUBSTITUTE(PlantList!A42, "-", ""), 4))</f>
        <v/>
      </c>
    </row>
    <row r="44" spans="3:6" x14ac:dyDescent="0.25">
      <c r="F44" t="str">
        <f>IF(PlantList!A43="", "", LEFT(SUBSTITUTE(PlantList!A43, "-", ""), 4))</f>
        <v/>
      </c>
    </row>
    <row r="45" spans="3:6" x14ac:dyDescent="0.25">
      <c r="F45" t="str">
        <f>IF(PlantList!A44="", "", LEFT(SUBSTITUTE(PlantList!A44, "-", ""), 4))</f>
        <v/>
      </c>
    </row>
    <row r="46" spans="3:6" x14ac:dyDescent="0.25">
      <c r="F46" t="str">
        <f>IF(PlantList!A45="", "", LEFT(SUBSTITUTE(PlantList!A45, "-", ""), 4))</f>
        <v/>
      </c>
    </row>
    <row r="47" spans="3:6" x14ac:dyDescent="0.25">
      <c r="F47" t="str">
        <f>IF(PlantList!A46="", "", LEFT(SUBSTITUTE(PlantList!A46, "-", ""), 4))</f>
        <v/>
      </c>
    </row>
    <row r="48" spans="3:6" x14ac:dyDescent="0.25">
      <c r="F48" t="str">
        <f>IF(PlantList!A47="", "", LEFT(SUBSTITUTE(PlantList!A47, "-", ""), 4))</f>
        <v/>
      </c>
    </row>
    <row r="49" spans="6:6" x14ac:dyDescent="0.25">
      <c r="F49" t="str">
        <f>IF(PlantList!A48="", "", LEFT(SUBSTITUTE(PlantList!A48, "-", ""), 4))</f>
        <v/>
      </c>
    </row>
    <row r="50" spans="6:6" x14ac:dyDescent="0.25">
      <c r="F50" t="str">
        <f>IF(PlantList!A49="", "", LEFT(SUBSTITUTE(PlantList!A49, "-", ""), 4))</f>
        <v/>
      </c>
    </row>
    <row r="51" spans="6:6" x14ac:dyDescent="0.25">
      <c r="F51" t="str">
        <f>IF(PlantList!A50="", "", LEFT(SUBSTITUTE(PlantList!A50, "-", ""), 4))</f>
        <v/>
      </c>
    </row>
    <row r="52" spans="6:6" x14ac:dyDescent="0.25">
      <c r="F52" t="str">
        <f>IF(PlantList!A51="", "", LEFT(SUBSTITUTE(PlantList!A51, "-", ""), 4))</f>
        <v/>
      </c>
    </row>
    <row r="53" spans="6:6" x14ac:dyDescent="0.25">
      <c r="F53" t="str">
        <f>IF(PlantList!A52="", "", LEFT(SUBSTITUTE(PlantList!A52, "-", ""), 4))</f>
        <v/>
      </c>
    </row>
    <row r="54" spans="6:6" x14ac:dyDescent="0.25">
      <c r="F54" t="str">
        <f>IF(PlantList!A53="", "", LEFT(SUBSTITUTE(PlantList!A53, "-", ""), 4))</f>
        <v/>
      </c>
    </row>
    <row r="55" spans="6:6" x14ac:dyDescent="0.25">
      <c r="F55" t="str">
        <f>IF(PlantList!A54="", "", LEFT(SUBSTITUTE(PlantList!A54, "-", ""), 4))</f>
        <v/>
      </c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4B9BD-82FB-439C-A0C9-B4BDEF8D2152}">
  <sheetPr codeName="Sheet2"/>
  <dimension ref="A1:AB292"/>
  <sheetViews>
    <sheetView topLeftCell="A70" workbookViewId="0">
      <selection activeCell="D82" sqref="D82"/>
    </sheetView>
  </sheetViews>
  <sheetFormatPr defaultRowHeight="13.8" x14ac:dyDescent="0.25"/>
  <cols>
    <col min="1" max="1" width="8.8984375" bestFit="1" customWidth="1"/>
    <col min="2" max="2" width="29.3984375" bestFit="1" customWidth="1"/>
    <col min="3" max="3" width="34.09765625" customWidth="1"/>
    <col min="4" max="4" width="35.09765625" bestFit="1" customWidth="1"/>
    <col min="5" max="5" width="9.09765625" customWidth="1"/>
    <col min="6" max="6" width="10.5" bestFit="1" customWidth="1"/>
    <col min="7" max="7" width="10.8984375" bestFit="1" customWidth="1"/>
  </cols>
  <sheetData>
    <row r="1" spans="1:28" x14ac:dyDescent="0.25">
      <c r="A1" s="1" t="s">
        <v>0</v>
      </c>
      <c r="B1" s="1" t="s">
        <v>2</v>
      </c>
      <c r="C1" s="1" t="s">
        <v>4</v>
      </c>
      <c r="D1" s="1"/>
    </row>
    <row r="2" spans="1:28" x14ac:dyDescent="0.25">
      <c r="A2" t="str">
        <f>IFERROR(IF(LEFT(Plant_Branch!B2,1)="7",Plant_Branch!B2,LEFT(Plant_Branch!C2,4)&amp;LEFT(RIGHT(Plant_Branch!C2,LEN(Plant_Branch!C2)-FIND(" ",Plant_Branch!C2)),4)),"")</f>
        <v/>
      </c>
      <c r="B2" t="str">
        <f>IF(Plant_Branch!A2="","",Plant_Branch!A2)</f>
        <v/>
      </c>
      <c r="C2" t="str">
        <f>IF(PlantList!E2="","",PlantList!E2)</f>
        <v/>
      </c>
      <c r="D2" t="str">
        <f t="shared" ref="D2" si="0">IF(C2="","",IF(B2="","",B2 &amp; "-" &amp; C2))</f>
        <v/>
      </c>
      <c r="AA2" t="str">
        <f>IF(PlantList!L9="","",IF(PlantList!M9="","",PlantList!M9 &amp; "-" &amp; PlantList!L9))</f>
        <v/>
      </c>
      <c r="AB2" t="str">
        <f>IF(PlantList!M9="","",IF(PlantList!N9="","",PlantList!N9 &amp; "-" &amp; PlantList!M9))</f>
        <v/>
      </c>
    </row>
    <row r="3" spans="1:28" x14ac:dyDescent="0.25">
      <c r="A3" t="str">
        <f>IFERROR(IF(LEFT(Plant_Branch!B3,1)="7",Plant_Branch!B3,LEFT(Plant_Branch!C3,4)&amp;LEFT(RIGHT(Plant_Branch!C3,LEN(Plant_Branch!C3)-FIND(" ",Plant_Branch!C3)),4)),"")</f>
        <v/>
      </c>
      <c r="B3" t="str">
        <f>IF(Plant_Branch!A3="","",Plant_Branch!A3)</f>
        <v/>
      </c>
      <c r="C3" t="str">
        <f>IF(PlantList!E3="","",PlantList!E3)</f>
        <v/>
      </c>
      <c r="D3" t="str">
        <f t="shared" ref="D3:D66" si="1">IF(C3="","",IF(B3="","",B3 &amp; "-" &amp; C3))</f>
        <v/>
      </c>
    </row>
    <row r="4" spans="1:28" x14ac:dyDescent="0.25">
      <c r="A4" t="str">
        <f>IFERROR(IF(LEFT(Plant_Branch!B4,1)="7",Plant_Branch!B4,LEFT(Plant_Branch!C4,4)&amp;LEFT(RIGHT(Plant_Branch!C4,LEN(Plant_Branch!C4)-FIND(" ",Plant_Branch!C4)),4)),"")</f>
        <v/>
      </c>
      <c r="B4" t="str">
        <f>IF(Plant_Branch!A4="","",Plant_Branch!A4)</f>
        <v/>
      </c>
      <c r="C4" t="str">
        <f>IF(PlantList!E4="","",PlantList!E4)</f>
        <v/>
      </c>
      <c r="D4" t="str">
        <f t="shared" si="1"/>
        <v/>
      </c>
    </row>
    <row r="5" spans="1:28" x14ac:dyDescent="0.25">
      <c r="A5" t="str">
        <f>IFERROR(IF(LEFT(Plant_Branch!B5,1)="7",Plant_Branch!B5,LEFT(Plant_Branch!C5,4)&amp;LEFT(RIGHT(Plant_Branch!C5,LEN(Plant_Branch!C5)-FIND(" ",Plant_Branch!C5)),4)),"")</f>
        <v/>
      </c>
      <c r="B5" t="str">
        <f>IF(Plant_Branch!A5="","",Plant_Branch!A5)</f>
        <v/>
      </c>
      <c r="C5" t="str">
        <f>IF(PlantList!E5="","",PlantList!E5)</f>
        <v/>
      </c>
      <c r="D5" t="str">
        <f t="shared" si="1"/>
        <v/>
      </c>
    </row>
    <row r="6" spans="1:28" x14ac:dyDescent="0.25">
      <c r="A6" t="str">
        <f>IFERROR(IF(LEFT(Plant_Branch!B6,1)="7",Plant_Branch!B6,LEFT(Plant_Branch!C6,4)&amp;LEFT(RIGHT(Plant_Branch!C6,LEN(Plant_Branch!C6)-FIND(" ",Plant_Branch!C6)),4)),"")</f>
        <v/>
      </c>
      <c r="B6" t="str">
        <f>IF(Plant_Branch!A6="","",Plant_Branch!A6)</f>
        <v/>
      </c>
      <c r="C6" t="str">
        <f>IF(PlantList!E6="","",PlantList!E6)</f>
        <v/>
      </c>
      <c r="D6" t="str">
        <f t="shared" si="1"/>
        <v/>
      </c>
    </row>
    <row r="7" spans="1:28" x14ac:dyDescent="0.25">
      <c r="A7" t="str">
        <f>IFERROR(IF(LEFT(Plant_Branch!B7,1)="7",Plant_Branch!B7,LEFT(Plant_Branch!C7,4)&amp;LEFT(RIGHT(Plant_Branch!C7,LEN(Plant_Branch!C7)-FIND(" ",Plant_Branch!C7)),4)),"")</f>
        <v/>
      </c>
      <c r="B7" t="str">
        <f>IF(Plant_Branch!A7="","",Plant_Branch!A7)</f>
        <v/>
      </c>
      <c r="C7" t="str">
        <f>IF(PlantList!E7="","",PlantList!E7)</f>
        <v/>
      </c>
      <c r="D7" t="str">
        <f t="shared" si="1"/>
        <v/>
      </c>
    </row>
    <row r="8" spans="1:28" x14ac:dyDescent="0.25">
      <c r="A8" t="str">
        <f>IFERROR(IF(LEFT(Plant_Branch!B8,1)="7",Plant_Branch!B8,LEFT(Plant_Branch!C8,4)&amp;LEFT(RIGHT(Plant_Branch!C8,LEN(Plant_Branch!C8)-FIND(" ",Plant_Branch!C8)),4)),"")</f>
        <v/>
      </c>
      <c r="B8" t="str">
        <f>IF(Plant_Branch!A8="","",Plant_Branch!A8)</f>
        <v/>
      </c>
      <c r="C8" t="str">
        <f>IF(PlantList!E8="","",PlantList!E8)</f>
        <v/>
      </c>
      <c r="D8" t="str">
        <f t="shared" si="1"/>
        <v/>
      </c>
    </row>
    <row r="9" spans="1:28" x14ac:dyDescent="0.25">
      <c r="A9" t="str">
        <f>IFERROR(IF(LEFT(Plant_Branch!B9,1)="7",Plant_Branch!B9,LEFT(Plant_Branch!C9,4)&amp;LEFT(RIGHT(Plant_Branch!C9,LEN(Plant_Branch!C9)-FIND(" ",Plant_Branch!C9)),4)),"")</f>
        <v/>
      </c>
      <c r="B9" t="str">
        <f>IF(Plant_Branch!A9="","",Plant_Branch!A9)</f>
        <v/>
      </c>
      <c r="C9" t="str">
        <f>IF(PlantList!E9="","",PlantList!E9)</f>
        <v/>
      </c>
      <c r="D9" t="str">
        <f t="shared" si="1"/>
        <v/>
      </c>
    </row>
    <row r="10" spans="1:28" x14ac:dyDescent="0.25">
      <c r="A10" t="str">
        <f>IFERROR(IF(LEFT(Plant_Branch!B10,1)="7",Plant_Branch!B10,LEFT(Plant_Branch!C10,4)&amp;LEFT(RIGHT(Plant_Branch!C10,LEN(Plant_Branch!C10)-FIND(" ",Plant_Branch!C10)),4)),"")</f>
        <v/>
      </c>
      <c r="B10" t="str">
        <f>IF(Plant_Branch!A10="","",Plant_Branch!A10)</f>
        <v/>
      </c>
      <c r="C10" t="str">
        <f>IF(PlantList!E10="","",PlantList!E10)</f>
        <v/>
      </c>
      <c r="D10" t="str">
        <f t="shared" si="1"/>
        <v/>
      </c>
    </row>
    <row r="11" spans="1:28" x14ac:dyDescent="0.25">
      <c r="A11" t="str">
        <f>IFERROR(IF(LEFT(Plant_Branch!B11,1)="7",Plant_Branch!B11,LEFT(Plant_Branch!C11,4)&amp;LEFT(RIGHT(Plant_Branch!C11,LEN(Plant_Branch!C11)-FIND(" ",Plant_Branch!C11)),4)),"")</f>
        <v/>
      </c>
      <c r="B11" t="str">
        <f>IF(Plant_Branch!A11="","",Plant_Branch!A11)</f>
        <v/>
      </c>
      <c r="C11" t="str">
        <f>IF(PlantList!E11="","",PlantList!E11)</f>
        <v/>
      </c>
      <c r="D11" t="str">
        <f t="shared" si="1"/>
        <v/>
      </c>
    </row>
    <row r="12" spans="1:28" x14ac:dyDescent="0.25">
      <c r="A12" t="str">
        <f>IFERROR(IF(LEFT(Plant_Branch!B12,1)="7",Plant_Branch!B12,LEFT(Plant_Branch!C12,4)&amp;LEFT(RIGHT(Plant_Branch!C12,LEN(Plant_Branch!C12)-FIND(" ",Plant_Branch!C12)),4)),"")</f>
        <v/>
      </c>
      <c r="B12" t="str">
        <f>IF(Plant_Branch!A12="","",Plant_Branch!A12)</f>
        <v/>
      </c>
      <c r="C12" t="str">
        <f>IF(PlantList!E12="","",PlantList!E12)</f>
        <v/>
      </c>
      <c r="D12" t="str">
        <f t="shared" si="1"/>
        <v/>
      </c>
    </row>
    <row r="13" spans="1:28" x14ac:dyDescent="0.25">
      <c r="A13" t="str">
        <f>IFERROR(IF(LEFT(Plant_Branch!B13,1)="7",Plant_Branch!B13,LEFT(Plant_Branch!C13,4)&amp;LEFT(RIGHT(Plant_Branch!C13,LEN(Plant_Branch!C13)-FIND(" ",Plant_Branch!C13)),4)),"")</f>
        <v/>
      </c>
      <c r="B13" t="str">
        <f>IF(Plant_Branch!A13="","",Plant_Branch!A13)</f>
        <v/>
      </c>
      <c r="C13" t="str">
        <f>IF(PlantList!E13="","",PlantList!E13)</f>
        <v/>
      </c>
      <c r="D13" t="str">
        <f t="shared" si="1"/>
        <v/>
      </c>
    </row>
    <row r="14" spans="1:28" x14ac:dyDescent="0.25">
      <c r="A14" t="str">
        <f>IFERROR(IF(LEFT(Plant_Branch!B14,1)="7",Plant_Branch!B14,LEFT(Plant_Branch!C14,4)&amp;LEFT(RIGHT(Plant_Branch!C14,LEN(Plant_Branch!C14)-FIND(" ",Plant_Branch!C14)),4)),"")</f>
        <v/>
      </c>
      <c r="B14" t="str">
        <f>IF(Plant_Branch!A14="","",Plant_Branch!A14)</f>
        <v/>
      </c>
      <c r="C14" t="str">
        <f>IF(PlantList!E14="","",PlantList!E14)</f>
        <v/>
      </c>
      <c r="D14" t="str">
        <f t="shared" si="1"/>
        <v/>
      </c>
    </row>
    <row r="15" spans="1:28" x14ac:dyDescent="0.25">
      <c r="A15" t="str">
        <f>IFERROR(IF(LEFT(Plant_Branch!B15,1)="7",Plant_Branch!B15,LEFT(Plant_Branch!C15,4)&amp;LEFT(RIGHT(Plant_Branch!C15,LEN(Plant_Branch!C15)-FIND(" ",Plant_Branch!C15)),4)),"")</f>
        <v/>
      </c>
      <c r="B15" t="str">
        <f>IF(Plant_Branch!A15="","",Plant_Branch!A15)</f>
        <v/>
      </c>
      <c r="C15" t="str">
        <f>IF(PlantList!E15="","",PlantList!E15)</f>
        <v/>
      </c>
      <c r="D15" t="str">
        <f t="shared" si="1"/>
        <v/>
      </c>
    </row>
    <row r="16" spans="1:28" x14ac:dyDescent="0.25">
      <c r="A16" t="str">
        <f>IFERROR(IF(LEFT(Plant_Branch!B16,1)="7",Plant_Branch!B16,LEFT(Plant_Branch!C16,4)&amp;LEFT(RIGHT(Plant_Branch!C16,LEN(Plant_Branch!C16)-FIND(" ",Plant_Branch!C16)),4)),"")</f>
        <v/>
      </c>
      <c r="B16" t="str">
        <f>IF(Plant_Branch!A16="","",Plant_Branch!A16)</f>
        <v/>
      </c>
      <c r="C16" t="str">
        <f>IF(PlantList!E16="","",PlantList!E16)</f>
        <v/>
      </c>
      <c r="D16" t="str">
        <f t="shared" si="1"/>
        <v/>
      </c>
    </row>
    <row r="17" spans="1:26" x14ac:dyDescent="0.25">
      <c r="A17" t="str">
        <f>IFERROR(IF(LEFT(Plant_Branch!B17,1)="7",Plant_Branch!B17,LEFT(Plant_Branch!C17,4)&amp;LEFT(RIGHT(Plant_Branch!C17,LEN(Plant_Branch!C17)-FIND(" ",Plant_Branch!C17)),4)),"")</f>
        <v/>
      </c>
      <c r="B17" t="str">
        <f>IF(Plant_Branch!A17="","",Plant_Branch!A17)</f>
        <v/>
      </c>
      <c r="C17" t="str">
        <f>IF(PlantList!E17="","",PlantList!E17)</f>
        <v/>
      </c>
      <c r="D17" t="str">
        <f t="shared" si="1"/>
        <v/>
      </c>
    </row>
    <row r="18" spans="1:26" x14ac:dyDescent="0.25">
      <c r="A18" t="str">
        <f>IFERROR(IF(LEFT(Plant_Branch!B18,1)="7",Plant_Branch!B18,LEFT(Plant_Branch!C18,4)&amp;LEFT(RIGHT(Plant_Branch!C18,LEN(Plant_Branch!C18)-FIND(" ",Plant_Branch!C18)),4)),"")</f>
        <v/>
      </c>
      <c r="B18" t="str">
        <f>IF(Plant_Branch!A18="","",Plant_Branch!A18)</f>
        <v/>
      </c>
      <c r="C18" t="str">
        <f>IF(PlantList!E18="","",PlantList!E18)</f>
        <v/>
      </c>
      <c r="D18" t="str">
        <f t="shared" si="1"/>
        <v/>
      </c>
    </row>
    <row r="19" spans="1:26" x14ac:dyDescent="0.25">
      <c r="A19" t="str">
        <f>IFERROR(IF(LEFT(Plant_Branch!B19,1)="7",Plant_Branch!B19,LEFT(Plant_Branch!C19,4)&amp;LEFT(RIGHT(Plant_Branch!C19,LEN(Plant_Branch!C19)-FIND(" ",Plant_Branch!C19)),4)),"")</f>
        <v/>
      </c>
      <c r="B19" t="str">
        <f>IF(Plant_Branch!A19="","",Plant_Branch!A19)</f>
        <v/>
      </c>
      <c r="C19" t="str">
        <f>IF(PlantList!E19="","",PlantList!E19)</f>
        <v/>
      </c>
      <c r="D19" t="str">
        <f t="shared" si="1"/>
        <v/>
      </c>
    </row>
    <row r="20" spans="1:26" x14ac:dyDescent="0.25">
      <c r="A20" t="str">
        <f>IFERROR(IF(LEFT(Plant_Branch!B20,1)="7",Plant_Branch!B20,LEFT(Plant_Branch!C20,4)&amp;LEFT(RIGHT(Plant_Branch!C20,LEN(Plant_Branch!C20)-FIND(" ",Plant_Branch!C20)),4)),"")</f>
        <v/>
      </c>
      <c r="B20" t="str">
        <f>IF(Plant_Branch!A20="","",Plant_Branch!A20)</f>
        <v/>
      </c>
      <c r="C20" t="str">
        <f>IF(PlantList!E20="","",PlantList!E20)</f>
        <v/>
      </c>
      <c r="D20" t="str">
        <f t="shared" si="1"/>
        <v/>
      </c>
    </row>
    <row r="21" spans="1:26" x14ac:dyDescent="0.25">
      <c r="A21" t="str">
        <f>IFERROR(IF(LEFT(Plant_Branch!B21,1)="7",Plant_Branch!B21,LEFT(Plant_Branch!C21,4)&amp;LEFT(RIGHT(Plant_Branch!C21,LEN(Plant_Branch!C21)-FIND(" ",Plant_Branch!C21)),4)),"")</f>
        <v/>
      </c>
      <c r="B21" t="str">
        <f>IF(Plant_Branch!A21="","",Plant_Branch!A21)</f>
        <v/>
      </c>
      <c r="C21" t="str">
        <f>IF(PlantList!E21="","",PlantList!E21)</f>
        <v/>
      </c>
      <c r="D21" t="str">
        <f t="shared" si="1"/>
        <v/>
      </c>
    </row>
    <row r="22" spans="1:26" x14ac:dyDescent="0.25">
      <c r="A22" t="str">
        <f>IFERROR(IF(LEFT(Plant_Branch!B22,1)="7",Plant_Branch!B22,LEFT(Plant_Branch!C22,4)&amp;LEFT(RIGHT(Plant_Branch!C22,LEN(Plant_Branch!C22)-FIND(" ",Plant_Branch!C22)),4)),"")</f>
        <v/>
      </c>
      <c r="B22" t="str">
        <f>IF(Plant_Branch!A22="","",Plant_Branch!A22)</f>
        <v/>
      </c>
      <c r="C22" t="str">
        <f>IF(PlantList!E22="","",PlantList!E22)</f>
        <v/>
      </c>
      <c r="D22" t="str">
        <f t="shared" si="1"/>
        <v/>
      </c>
      <c r="T22" t="str">
        <f t="shared" ref="T22:Z22" si="2">IF(T20="","",IF(T21="","",T21 &amp; "-" &amp; T20))</f>
        <v/>
      </c>
      <c r="U22" t="str">
        <f t="shared" si="2"/>
        <v/>
      </c>
      <c r="V22" t="str">
        <f t="shared" si="2"/>
        <v/>
      </c>
      <c r="W22" t="str">
        <f t="shared" si="2"/>
        <v/>
      </c>
      <c r="X22" t="str">
        <f t="shared" si="2"/>
        <v/>
      </c>
      <c r="Y22" t="str">
        <f t="shared" si="2"/>
        <v/>
      </c>
      <c r="Z22" t="str">
        <f t="shared" si="2"/>
        <v/>
      </c>
    </row>
    <row r="23" spans="1:26" x14ac:dyDescent="0.25">
      <c r="A23" t="str">
        <f>IFERROR(IF(LEFT(Plant_Branch!B23,1)="7",Plant_Branch!B23,LEFT(Plant_Branch!C23,4)&amp;LEFT(RIGHT(Plant_Branch!C23,LEN(Plant_Branch!C23)-FIND(" ",Plant_Branch!C23)),4)),"")</f>
        <v/>
      </c>
      <c r="B23" t="str">
        <f>IF(Plant_Branch!A23="","",Plant_Branch!A23)</f>
        <v/>
      </c>
      <c r="C23" t="str">
        <f>IF(PlantList!E23="","",PlantList!E23)</f>
        <v/>
      </c>
      <c r="D23" t="str">
        <f t="shared" si="1"/>
        <v/>
      </c>
    </row>
    <row r="24" spans="1:26" x14ac:dyDescent="0.25">
      <c r="A24" t="str">
        <f>IFERROR(IF(LEFT(Plant_Branch!B24,1)="7",Plant_Branch!B24,LEFT(Plant_Branch!C24,4)&amp;LEFT(RIGHT(Plant_Branch!C24,LEN(Plant_Branch!C24)-FIND(" ",Plant_Branch!C24)),4)),"")</f>
        <v/>
      </c>
      <c r="B24" t="str">
        <f>IF(Plant_Branch!A24="","",Plant_Branch!A24)</f>
        <v/>
      </c>
      <c r="C24" t="str">
        <f>IF(PlantList!E24="","",PlantList!E24)</f>
        <v/>
      </c>
      <c r="D24" t="str">
        <f t="shared" si="1"/>
        <v/>
      </c>
    </row>
    <row r="25" spans="1:26" x14ac:dyDescent="0.25">
      <c r="A25" t="str">
        <f>IFERROR(IF(LEFT(Plant_Branch!B25,1)="7",Plant_Branch!B25,LEFT(Plant_Branch!C25,4)&amp;LEFT(RIGHT(Plant_Branch!C25,LEN(Plant_Branch!C25)-FIND(" ",Plant_Branch!C25)),4)),"")</f>
        <v/>
      </c>
      <c r="B25" t="str">
        <f>IF(Plant_Branch!A25="","",Plant_Branch!A25)</f>
        <v/>
      </c>
      <c r="C25" t="str">
        <f>IF(PlantList!E25="","",PlantList!E25)</f>
        <v/>
      </c>
      <c r="D25" t="str">
        <f t="shared" si="1"/>
        <v/>
      </c>
    </row>
    <row r="26" spans="1:26" x14ac:dyDescent="0.25">
      <c r="A26" t="str">
        <f>IFERROR(IF(LEFT(Plant_Branch!B26,1)="7",Plant_Branch!B26,LEFT(Plant_Branch!C26,4)&amp;LEFT(RIGHT(Plant_Branch!C26,LEN(Plant_Branch!C26)-FIND(" ",Plant_Branch!C26)),4)),"")</f>
        <v/>
      </c>
      <c r="B26" t="str">
        <f>IF(Plant_Branch!A26="","",Plant_Branch!A26)</f>
        <v/>
      </c>
      <c r="C26" t="str">
        <f>IF(PlantList!E26="","",PlantList!E26)</f>
        <v/>
      </c>
      <c r="D26" t="str">
        <f t="shared" si="1"/>
        <v/>
      </c>
    </row>
    <row r="27" spans="1:26" x14ac:dyDescent="0.25">
      <c r="A27" t="str">
        <f>IFERROR(IF(LEFT(Plant_Branch!B27,1)="7",Plant_Branch!B27,LEFT(Plant_Branch!C27,4)&amp;LEFT(RIGHT(Plant_Branch!C27,LEN(Plant_Branch!C27)-FIND(" ",Plant_Branch!C27)),4)),"")</f>
        <v/>
      </c>
      <c r="B27" t="str">
        <f>IF(Plant_Branch!A27="","",Plant_Branch!A27)</f>
        <v/>
      </c>
      <c r="C27" t="str">
        <f>IF(PlantList!E27="","",PlantList!E27)</f>
        <v/>
      </c>
      <c r="D27" t="str">
        <f t="shared" si="1"/>
        <v/>
      </c>
    </row>
    <row r="28" spans="1:26" x14ac:dyDescent="0.25">
      <c r="A28" t="str">
        <f>IFERROR(IF(LEFT(Plant_Branch!B28,1)="7",Plant_Branch!B28,LEFT(Plant_Branch!C28,4)&amp;LEFT(RIGHT(Plant_Branch!C28,LEN(Plant_Branch!C28)-FIND(" ",Plant_Branch!C28)),4)),"")</f>
        <v/>
      </c>
      <c r="B28" t="str">
        <f>IF(Plant_Branch!A28="","",Plant_Branch!A28)</f>
        <v/>
      </c>
      <c r="C28" t="str">
        <f>IF(PlantList!E28="","",PlantList!E28)</f>
        <v/>
      </c>
      <c r="D28" t="str">
        <f t="shared" si="1"/>
        <v/>
      </c>
    </row>
    <row r="29" spans="1:26" x14ac:dyDescent="0.25">
      <c r="A29" t="str">
        <f>IFERROR(IF(LEFT(Plant_Branch!B29,1)="7",Plant_Branch!B29,LEFT(Plant_Branch!C29,4)&amp;LEFT(RIGHT(Plant_Branch!C29,LEN(Plant_Branch!C29)-FIND(" ",Plant_Branch!C29)),4)),"")</f>
        <v/>
      </c>
      <c r="B29" t="str">
        <f>IF(Plant_Branch!A29="","",Plant_Branch!A29)</f>
        <v/>
      </c>
      <c r="C29" t="str">
        <f>IF(PlantList!E29="","",PlantList!E29)</f>
        <v/>
      </c>
      <c r="D29" t="str">
        <f t="shared" si="1"/>
        <v/>
      </c>
    </row>
    <row r="30" spans="1:26" x14ac:dyDescent="0.25">
      <c r="A30" t="str">
        <f>IFERROR(IF(LEFT(Plant_Branch!B30,1)="7",Plant_Branch!B30,LEFT(Plant_Branch!C30,4)&amp;LEFT(RIGHT(Plant_Branch!C30,LEN(Plant_Branch!C30)-FIND(" ",Plant_Branch!C30)),4)),"")</f>
        <v/>
      </c>
      <c r="B30" t="str">
        <f>IF(Plant_Branch!A30="","",Plant_Branch!A30)</f>
        <v/>
      </c>
      <c r="C30" t="str">
        <f>IF(PlantList!E30="","",PlantList!E30)</f>
        <v/>
      </c>
      <c r="D30" t="str">
        <f t="shared" si="1"/>
        <v/>
      </c>
    </row>
    <row r="31" spans="1:26" x14ac:dyDescent="0.25">
      <c r="A31" t="str">
        <f>IFERROR(IF(LEFT(Plant_Branch!B31,1)="7",Plant_Branch!B31,LEFT(Plant_Branch!C31,4)&amp;LEFT(RIGHT(Plant_Branch!C31,LEN(Plant_Branch!C31)-FIND(" ",Plant_Branch!C31)),4)),"")</f>
        <v/>
      </c>
      <c r="B31" t="str">
        <f>IF(Plant_Branch!A31="","",Plant_Branch!A31)</f>
        <v/>
      </c>
      <c r="C31" t="str">
        <f>IF(PlantList!E31="","",PlantList!E31)</f>
        <v/>
      </c>
      <c r="D31" t="str">
        <f t="shared" si="1"/>
        <v/>
      </c>
    </row>
    <row r="32" spans="1:26" x14ac:dyDescent="0.25">
      <c r="A32" t="str">
        <f>IFERROR(IF(LEFT(Plant_Branch!B32,1)="7",Plant_Branch!B32,LEFT(Plant_Branch!C32,4)&amp;LEFT(RIGHT(Plant_Branch!C32,LEN(Plant_Branch!C32)-FIND(" ",Plant_Branch!C32)),4)),"")</f>
        <v/>
      </c>
      <c r="B32" t="str">
        <f>IF(Plant_Branch!A32="","",Plant_Branch!A32)</f>
        <v/>
      </c>
      <c r="C32" t="str">
        <f>IF(PlantList!E32="","",PlantList!E32)</f>
        <v/>
      </c>
      <c r="D32" t="str">
        <f t="shared" si="1"/>
        <v/>
      </c>
    </row>
    <row r="33" spans="1:4" x14ac:dyDescent="0.25">
      <c r="A33" t="str">
        <f>IFERROR(IF(LEFT(Plant_Branch!B33,1)="7",Plant_Branch!B33,LEFT(Plant_Branch!C33,4)&amp;LEFT(RIGHT(Plant_Branch!C33,LEN(Plant_Branch!C33)-FIND(" ",Plant_Branch!C33)),4)),"")</f>
        <v/>
      </c>
      <c r="B33" t="str">
        <f>IF(Plant_Branch!A33="","",Plant_Branch!A33)</f>
        <v/>
      </c>
      <c r="C33" t="str">
        <f>IF(PlantList!E33="","",PlantList!E33)</f>
        <v/>
      </c>
      <c r="D33" t="str">
        <f t="shared" si="1"/>
        <v/>
      </c>
    </row>
    <row r="34" spans="1:4" x14ac:dyDescent="0.25">
      <c r="A34" t="str">
        <f>IFERROR(IF(LEFT(Plant_Branch!B34,1)="7",Plant_Branch!B34,LEFT(Plant_Branch!C34,4)&amp;LEFT(RIGHT(Plant_Branch!C34,LEN(Plant_Branch!C34)-FIND(" ",Plant_Branch!C34)),4)),"")</f>
        <v/>
      </c>
      <c r="B34" t="str">
        <f>IF(Plant_Branch!A34="","",Plant_Branch!A34)</f>
        <v/>
      </c>
      <c r="C34" t="str">
        <f>IF(PlantList!E34="","",PlantList!E34)</f>
        <v/>
      </c>
      <c r="D34" t="str">
        <f t="shared" si="1"/>
        <v/>
      </c>
    </row>
    <row r="35" spans="1:4" x14ac:dyDescent="0.25">
      <c r="A35" t="str">
        <f>IFERROR(IF(LEFT(Plant_Branch!B35,1)="7",Plant_Branch!B35,LEFT(Plant_Branch!C35,4)&amp;LEFT(RIGHT(Plant_Branch!C35,LEN(Plant_Branch!C35)-FIND(" ",Plant_Branch!C35)),4)),"")</f>
        <v/>
      </c>
      <c r="B35" t="str">
        <f>IF(Plant_Branch!A35="","",Plant_Branch!A35)</f>
        <v/>
      </c>
      <c r="C35" t="str">
        <f>IF(PlantList!E35="","",PlantList!E35)</f>
        <v/>
      </c>
      <c r="D35" t="str">
        <f t="shared" si="1"/>
        <v/>
      </c>
    </row>
    <row r="36" spans="1:4" x14ac:dyDescent="0.25">
      <c r="A36" t="str">
        <f>IFERROR(IF(LEFT(Plant_Branch!B36,1)="7",Plant_Branch!B36,LEFT(Plant_Branch!C36,4)&amp;LEFT(RIGHT(Plant_Branch!C36,LEN(Plant_Branch!C36)-FIND(" ",Plant_Branch!C36)),4)),"")</f>
        <v/>
      </c>
      <c r="B36" t="str">
        <f>IF(Plant_Branch!A36="","",Plant_Branch!A36)</f>
        <v/>
      </c>
      <c r="C36" t="str">
        <f>IF(PlantList!E36="","",PlantList!E36)</f>
        <v/>
      </c>
      <c r="D36" t="str">
        <f t="shared" si="1"/>
        <v/>
      </c>
    </row>
    <row r="37" spans="1:4" x14ac:dyDescent="0.25">
      <c r="A37" t="str">
        <f>IFERROR(IF(LEFT(Plant_Branch!B37,1)="7",Plant_Branch!B37,LEFT(Plant_Branch!C37,4)&amp;LEFT(RIGHT(Plant_Branch!C37,LEN(Plant_Branch!C37)-FIND(" ",Plant_Branch!C37)),4)),"")</f>
        <v/>
      </c>
      <c r="B37" t="str">
        <f>IF(Plant_Branch!A37="","",Plant_Branch!A37)</f>
        <v/>
      </c>
      <c r="C37" t="str">
        <f>IF(PlantList!E37="","",PlantList!E37)</f>
        <v/>
      </c>
      <c r="D37" t="str">
        <f t="shared" si="1"/>
        <v/>
      </c>
    </row>
    <row r="38" spans="1:4" x14ac:dyDescent="0.25">
      <c r="A38" t="str">
        <f>IFERROR(IF(LEFT(Plant_Branch!B38,1)="7",Plant_Branch!B38,LEFT(Plant_Branch!C38,4)&amp;LEFT(RIGHT(Plant_Branch!C38,LEN(Plant_Branch!C38)-FIND(" ",Plant_Branch!C38)),4)),"")</f>
        <v/>
      </c>
      <c r="B38" t="str">
        <f>IF(Plant_Branch!A38="","",Plant_Branch!A38)</f>
        <v/>
      </c>
      <c r="C38" t="str">
        <f>IF(PlantList!E38="","",PlantList!E38)</f>
        <v/>
      </c>
      <c r="D38" t="str">
        <f t="shared" si="1"/>
        <v/>
      </c>
    </row>
    <row r="39" spans="1:4" x14ac:dyDescent="0.25">
      <c r="A39" t="str">
        <f>IFERROR(IF(LEFT(Plant_Branch!B39,1)="7",Plant_Branch!B39,LEFT(Plant_Branch!C39,4)&amp;LEFT(RIGHT(Plant_Branch!C39,LEN(Plant_Branch!C39)-FIND(" ",Plant_Branch!C39)),4)),"")</f>
        <v/>
      </c>
      <c r="B39" t="str">
        <f>IF(Plant_Branch!A39="","",Plant_Branch!A39)</f>
        <v/>
      </c>
      <c r="C39" t="str">
        <f>IF(PlantList!E39="","",PlantList!E39)</f>
        <v/>
      </c>
      <c r="D39" t="str">
        <f t="shared" si="1"/>
        <v/>
      </c>
    </row>
    <row r="40" spans="1:4" x14ac:dyDescent="0.25">
      <c r="A40" t="str">
        <f>IFERROR(IF(LEFT(Plant_Branch!B40,1)="7",Plant_Branch!B40,LEFT(Plant_Branch!C40,4)&amp;LEFT(RIGHT(Plant_Branch!C40,LEN(Plant_Branch!C40)-FIND(" ",Plant_Branch!C40)),4)),"")</f>
        <v/>
      </c>
      <c r="B40" t="str">
        <f>IF(Plant_Branch!A40="","",Plant_Branch!A40)</f>
        <v/>
      </c>
      <c r="C40" t="str">
        <f>IF(PlantList!E40="","",PlantList!E40)</f>
        <v/>
      </c>
      <c r="D40" t="str">
        <f t="shared" si="1"/>
        <v/>
      </c>
    </row>
    <row r="41" spans="1:4" x14ac:dyDescent="0.25">
      <c r="A41" t="str">
        <f>IFERROR(IF(LEFT(Plant_Branch!B41,1)="7",Plant_Branch!B41,LEFT(Plant_Branch!C41,4)&amp;LEFT(RIGHT(Plant_Branch!C41,LEN(Plant_Branch!C41)-FIND(" ",Plant_Branch!C41)),4)),"")</f>
        <v/>
      </c>
      <c r="B41" t="str">
        <f>IF(Plant_Branch!A41="","",Plant_Branch!A41)</f>
        <v/>
      </c>
      <c r="C41" t="str">
        <f>IF(PlantList!E41="","",PlantList!E41)</f>
        <v/>
      </c>
      <c r="D41" t="str">
        <f t="shared" si="1"/>
        <v/>
      </c>
    </row>
    <row r="42" spans="1:4" x14ac:dyDescent="0.25">
      <c r="A42" t="str">
        <f>IFERROR(IF(LEFT(Plant_Branch!B42,1)="7",Plant_Branch!B42,LEFT(Plant_Branch!C42,4)&amp;LEFT(RIGHT(Plant_Branch!C42,LEN(Plant_Branch!C42)-FIND(" ",Plant_Branch!C42)),4)),"")</f>
        <v/>
      </c>
      <c r="B42" t="str">
        <f>IF(Plant_Branch!A42="","",Plant_Branch!A42)</f>
        <v/>
      </c>
      <c r="C42" t="str">
        <f>IF(PlantList!E42="","",PlantList!E42)</f>
        <v/>
      </c>
      <c r="D42" t="str">
        <f t="shared" si="1"/>
        <v/>
      </c>
    </row>
    <row r="43" spans="1:4" x14ac:dyDescent="0.25">
      <c r="A43" t="str">
        <f>IFERROR(IF(LEFT(Plant_Branch!B43,1)="7",Plant_Branch!B43,LEFT(Plant_Branch!C43,4)&amp;LEFT(RIGHT(Plant_Branch!C43,LEN(Plant_Branch!C43)-FIND(" ",Plant_Branch!C43)),4)),"")</f>
        <v/>
      </c>
      <c r="B43" t="str">
        <f>IF(Plant_Branch!A43="","",Plant_Branch!A43)</f>
        <v/>
      </c>
      <c r="C43" t="str">
        <f>IF(PlantList!E43="","",PlantList!E43)</f>
        <v/>
      </c>
      <c r="D43" t="str">
        <f t="shared" si="1"/>
        <v/>
      </c>
    </row>
    <row r="44" spans="1:4" x14ac:dyDescent="0.25">
      <c r="A44" t="str">
        <f>IFERROR(IF(LEFT(Plant_Branch!B44,1)="7",Plant_Branch!B44,LEFT(Plant_Branch!C44,4)&amp;LEFT(RIGHT(Plant_Branch!C44,LEN(Plant_Branch!C44)-FIND(" ",Plant_Branch!C44)),4)),"")</f>
        <v/>
      </c>
      <c r="B44" t="str">
        <f>IF(Plant_Branch!A44="","",Plant_Branch!A44)</f>
        <v/>
      </c>
      <c r="C44" t="str">
        <f>IF(PlantList!E44="","",PlantList!E44)</f>
        <v/>
      </c>
      <c r="D44" t="str">
        <f t="shared" si="1"/>
        <v/>
      </c>
    </row>
    <row r="45" spans="1:4" x14ac:dyDescent="0.25">
      <c r="A45" t="str">
        <f>IFERROR(IF(LEFT(Plant_Branch!B45,1)="7",Plant_Branch!B45,LEFT(Plant_Branch!C45,4)&amp;LEFT(RIGHT(Plant_Branch!C45,LEN(Plant_Branch!C45)-FIND(" ",Plant_Branch!C45)),4)),"")</f>
        <v/>
      </c>
      <c r="B45" t="str">
        <f>IF(Plant_Branch!A45="","",Plant_Branch!A45)</f>
        <v/>
      </c>
      <c r="C45" t="str">
        <f>IF(PlantList!E45="","",PlantList!E45)</f>
        <v/>
      </c>
      <c r="D45" t="str">
        <f t="shared" si="1"/>
        <v/>
      </c>
    </row>
    <row r="46" spans="1:4" x14ac:dyDescent="0.25">
      <c r="A46" t="str">
        <f>IFERROR(IF(LEFT(Plant_Branch!B46,1)="7",Plant_Branch!B46,LEFT(Plant_Branch!C46,4)&amp;LEFT(RIGHT(Plant_Branch!C46,LEN(Plant_Branch!C46)-FIND(" ",Plant_Branch!C46)),4)),"")</f>
        <v/>
      </c>
      <c r="B46" t="str">
        <f>IF(Plant_Branch!A46="","",Plant_Branch!A46)</f>
        <v/>
      </c>
      <c r="C46" t="str">
        <f>IF(PlantList!E46="","",PlantList!E46)</f>
        <v/>
      </c>
      <c r="D46" t="str">
        <f t="shared" si="1"/>
        <v/>
      </c>
    </row>
    <row r="47" spans="1:4" x14ac:dyDescent="0.25">
      <c r="A47" t="str">
        <f>IFERROR(IF(LEFT(Plant_Branch!B47,1)="7",Plant_Branch!B47,LEFT(Plant_Branch!C47,4)&amp;LEFT(RIGHT(Plant_Branch!C47,LEN(Plant_Branch!C47)-FIND(" ",Plant_Branch!C47)),4)),"")</f>
        <v/>
      </c>
      <c r="B47" t="str">
        <f>IF(Plant_Branch!A47="","",Plant_Branch!A47)</f>
        <v/>
      </c>
      <c r="C47" t="str">
        <f>IF(PlantList!E47="","",PlantList!E47)</f>
        <v/>
      </c>
      <c r="D47" t="str">
        <f t="shared" si="1"/>
        <v/>
      </c>
    </row>
    <row r="48" spans="1:4" x14ac:dyDescent="0.25">
      <c r="A48" t="str">
        <f>IFERROR(IF(LEFT(Plant_Branch!B48,1)="7",Plant_Branch!B48,LEFT(Plant_Branch!C48,4)&amp;LEFT(RIGHT(Plant_Branch!C48,LEN(Plant_Branch!C48)-FIND(" ",Plant_Branch!C48)),4)),"")</f>
        <v/>
      </c>
      <c r="B48" t="str">
        <f>IF(Plant_Branch!A48="","",Plant_Branch!A48)</f>
        <v/>
      </c>
      <c r="C48" t="str">
        <f>IF(PlantList!E48="","",PlantList!E48)</f>
        <v/>
      </c>
      <c r="D48" t="str">
        <f t="shared" si="1"/>
        <v/>
      </c>
    </row>
    <row r="49" spans="1:4" x14ac:dyDescent="0.25">
      <c r="A49" t="str">
        <f>IFERROR(IF(LEFT(Plant_Branch!B49,1)="7",Plant_Branch!B49,LEFT(Plant_Branch!C49,4)&amp;LEFT(RIGHT(Plant_Branch!C49,LEN(Plant_Branch!C49)-FIND(" ",Plant_Branch!C49)),4)),"")</f>
        <v/>
      </c>
      <c r="B49" t="str">
        <f>IF(Plant_Branch!A49="","",Plant_Branch!A49)</f>
        <v/>
      </c>
      <c r="C49" t="str">
        <f>IF(PlantList!E49="","",PlantList!E49)</f>
        <v/>
      </c>
      <c r="D49" t="str">
        <f t="shared" si="1"/>
        <v/>
      </c>
    </row>
    <row r="50" spans="1:4" x14ac:dyDescent="0.25">
      <c r="A50" t="str">
        <f>IFERROR(IF(LEFT(Plant_Branch!B50,1)="7",Plant_Branch!B50,LEFT(Plant_Branch!C50,4)&amp;LEFT(RIGHT(Plant_Branch!C50,LEN(Plant_Branch!C50)-FIND(" ",Plant_Branch!C50)),4)),"")</f>
        <v/>
      </c>
      <c r="B50" t="str">
        <f>IF(Plant_Branch!A50="","",Plant_Branch!A50)</f>
        <v/>
      </c>
      <c r="C50" t="str">
        <f>IF(PlantList!E50="","",PlantList!E50)</f>
        <v/>
      </c>
      <c r="D50" t="str">
        <f t="shared" si="1"/>
        <v/>
      </c>
    </row>
    <row r="51" spans="1:4" x14ac:dyDescent="0.25">
      <c r="A51" t="str">
        <f>IFERROR(IF(LEFT(Plant_Branch!B51,1)="7",Plant_Branch!B51,LEFT(Plant_Branch!C51,4)&amp;LEFT(RIGHT(Plant_Branch!C51,LEN(Plant_Branch!C51)-FIND(" ",Plant_Branch!C51)),4)),"")</f>
        <v/>
      </c>
      <c r="B51" t="str">
        <f>IF(Plant_Branch!A51="","",Plant_Branch!A51)</f>
        <v/>
      </c>
      <c r="C51" t="str">
        <f>IF(PlantList!E51="","",PlantList!E51)</f>
        <v/>
      </c>
      <c r="D51" t="str">
        <f t="shared" si="1"/>
        <v/>
      </c>
    </row>
    <row r="52" spans="1:4" x14ac:dyDescent="0.25">
      <c r="A52" t="str">
        <f>IFERROR(IF(LEFT(Plant_Branch!B52,1)="7",Plant_Branch!B52,LEFT(Plant_Branch!C52,4)&amp;LEFT(RIGHT(Plant_Branch!C52,LEN(Plant_Branch!C52)-FIND(" ",Plant_Branch!C52)),4)),"")</f>
        <v/>
      </c>
      <c r="B52" t="str">
        <f>IF(Plant_Branch!A52="","",Plant_Branch!A52)</f>
        <v/>
      </c>
      <c r="C52" t="str">
        <f>IF(PlantList!E52="","",PlantList!E52)</f>
        <v/>
      </c>
      <c r="D52" t="str">
        <f t="shared" si="1"/>
        <v/>
      </c>
    </row>
    <row r="53" spans="1:4" x14ac:dyDescent="0.25">
      <c r="A53" t="str">
        <f>IFERROR(IF(LEFT(Plant_Branch!B53,1)="7",Plant_Branch!B53,LEFT(Plant_Branch!C53,4)&amp;LEFT(RIGHT(Plant_Branch!C53,LEN(Plant_Branch!C53)-FIND(" ",Plant_Branch!C53)),4)),"")</f>
        <v/>
      </c>
      <c r="B53" t="str">
        <f>IF(Plant_Branch!A53="","",Plant_Branch!A53)</f>
        <v/>
      </c>
      <c r="C53" t="str">
        <f>IF(PlantList!E53="","",PlantList!E53)</f>
        <v/>
      </c>
      <c r="D53" t="str">
        <f t="shared" si="1"/>
        <v/>
      </c>
    </row>
    <row r="54" spans="1:4" x14ac:dyDescent="0.25">
      <c r="A54" t="str">
        <f>IFERROR(IF(LEFT(Plant_Branch!B54,1)="7",Plant_Branch!B54,LEFT(Plant_Branch!C54,4)&amp;LEFT(RIGHT(Plant_Branch!C54,LEN(Plant_Branch!C54)-FIND(" ",Plant_Branch!C54)),4)),"")</f>
        <v/>
      </c>
      <c r="B54" t="str">
        <f>IF(Plant_Branch!A54="","",Plant_Branch!A54)</f>
        <v/>
      </c>
      <c r="C54" t="str">
        <f>IF(PlantList!E54="","",PlantList!E54)</f>
        <v/>
      </c>
      <c r="D54" t="str">
        <f t="shared" si="1"/>
        <v/>
      </c>
    </row>
    <row r="55" spans="1:4" x14ac:dyDescent="0.25">
      <c r="A55" t="str">
        <f>IFERROR(IF(LEFT(Plant_Branch!B55,1)="7",Plant_Branch!B55,LEFT(Plant_Branch!C55,4)&amp;LEFT(RIGHT(Plant_Branch!C55,LEN(Plant_Branch!C55)-FIND(" ",Plant_Branch!C55)),4)),"")</f>
        <v/>
      </c>
      <c r="B55" t="str">
        <f>IF(Plant_Branch!A55="","",Plant_Branch!A55)</f>
        <v/>
      </c>
      <c r="C55" t="str">
        <f>IF(PlantList!E55="","",PlantList!E55)</f>
        <v/>
      </c>
      <c r="D55" t="str">
        <f t="shared" si="1"/>
        <v/>
      </c>
    </row>
    <row r="56" spans="1:4" x14ac:dyDescent="0.25">
      <c r="A56" t="str">
        <f>IFERROR(IF(LEFT(Plant_Branch!B56,1)="7",Plant_Branch!B56,LEFT(Plant_Branch!C56,4)&amp;LEFT(RIGHT(Plant_Branch!C56,LEN(Plant_Branch!C56)-FIND(" ",Plant_Branch!C56)),4)),"")</f>
        <v/>
      </c>
      <c r="B56" t="str">
        <f>IF(Plant_Branch!A56="","",Plant_Branch!A56)</f>
        <v/>
      </c>
      <c r="C56" t="str">
        <f>IF(PlantList!E56="","",PlantList!E56)</f>
        <v/>
      </c>
      <c r="D56" t="str">
        <f t="shared" si="1"/>
        <v/>
      </c>
    </row>
    <row r="57" spans="1:4" x14ac:dyDescent="0.25">
      <c r="A57" t="str">
        <f>IFERROR(IF(LEFT(Plant_Branch!B57,1)="7",Plant_Branch!B57,LEFT(Plant_Branch!C57,4)&amp;LEFT(RIGHT(Plant_Branch!C57,LEN(Plant_Branch!C57)-FIND(" ",Plant_Branch!C57)),4)),"")</f>
        <v/>
      </c>
      <c r="B57" t="str">
        <f>IF(Plant_Branch!A57="","",Plant_Branch!A57)</f>
        <v/>
      </c>
      <c r="C57" t="str">
        <f>IF(PlantList!E57="","",PlantList!E57)</f>
        <v/>
      </c>
      <c r="D57" t="str">
        <f t="shared" si="1"/>
        <v/>
      </c>
    </row>
    <row r="58" spans="1:4" x14ac:dyDescent="0.25">
      <c r="A58" t="str">
        <f>IFERROR(IF(LEFT(Plant_Branch!B58,1)="7",Plant_Branch!B58,LEFT(Plant_Branch!C58,4)&amp;LEFT(RIGHT(Plant_Branch!C58,LEN(Plant_Branch!C58)-FIND(" ",Plant_Branch!C58)),4)),"")</f>
        <v/>
      </c>
      <c r="B58" t="str">
        <f>IF(Plant_Branch!A58="","",Plant_Branch!A58)</f>
        <v/>
      </c>
      <c r="C58" t="str">
        <f>IF(PlantList!E58="","",PlantList!E58)</f>
        <v/>
      </c>
      <c r="D58" t="str">
        <f t="shared" si="1"/>
        <v/>
      </c>
    </row>
    <row r="59" spans="1:4" x14ac:dyDescent="0.25">
      <c r="A59" t="str">
        <f>IFERROR(IF(LEFT(Plant_Branch!B59,1)="7",Plant_Branch!B59,LEFT(Plant_Branch!C59,4)&amp;LEFT(RIGHT(Plant_Branch!C59,LEN(Plant_Branch!C59)-FIND(" ",Plant_Branch!C59)),4)),"")</f>
        <v/>
      </c>
      <c r="B59" t="str">
        <f>IF(Plant_Branch!A59="","",Plant_Branch!A59)</f>
        <v/>
      </c>
      <c r="C59" t="str">
        <f>IF(PlantList!E59="","",PlantList!E59)</f>
        <v/>
      </c>
      <c r="D59" t="str">
        <f t="shared" si="1"/>
        <v/>
      </c>
    </row>
    <row r="60" spans="1:4" x14ac:dyDescent="0.25">
      <c r="A60" t="str">
        <f>IFERROR(IF(LEFT(Plant_Branch!B60,1)="7",Plant_Branch!B60,LEFT(Plant_Branch!C60,4)&amp;LEFT(RIGHT(Plant_Branch!C60,LEN(Plant_Branch!C60)-FIND(" ",Plant_Branch!C60)),4)),"")</f>
        <v/>
      </c>
      <c r="B60" t="str">
        <f>IF(Plant_Branch!A60="","",Plant_Branch!A60)</f>
        <v/>
      </c>
      <c r="C60" t="str">
        <f>IF(PlantList!E60="","",PlantList!E60)</f>
        <v/>
      </c>
      <c r="D60" t="str">
        <f t="shared" si="1"/>
        <v/>
      </c>
    </row>
    <row r="61" spans="1:4" x14ac:dyDescent="0.25">
      <c r="A61" t="str">
        <f>IFERROR(IF(LEFT(Plant_Branch!B61,1)="7",Plant_Branch!B61,LEFT(Plant_Branch!C61,4)&amp;LEFT(RIGHT(Plant_Branch!C61,LEN(Plant_Branch!C61)-FIND(" ",Plant_Branch!C61)),4)),"")</f>
        <v/>
      </c>
      <c r="B61" t="str">
        <f>IF(Plant_Branch!A61="","",Plant_Branch!A61)</f>
        <v/>
      </c>
      <c r="C61" t="str">
        <f>IF(PlantList!E61="","",PlantList!E61)</f>
        <v/>
      </c>
      <c r="D61" t="str">
        <f t="shared" si="1"/>
        <v/>
      </c>
    </row>
    <row r="62" spans="1:4" x14ac:dyDescent="0.25">
      <c r="A62" t="str">
        <f>IFERROR(IF(LEFT(Plant_Branch!B62,1)="7",Plant_Branch!B62,LEFT(Plant_Branch!C62,4)&amp;LEFT(RIGHT(Plant_Branch!C62,LEN(Plant_Branch!C62)-FIND(" ",Plant_Branch!C62)),4)),"")</f>
        <v/>
      </c>
      <c r="B62" t="str">
        <f>IF(Plant_Branch!A62="","",Plant_Branch!A62)</f>
        <v/>
      </c>
      <c r="C62" t="str">
        <f>IF(PlantList!E62="","",PlantList!E62)</f>
        <v/>
      </c>
      <c r="D62" t="str">
        <f t="shared" si="1"/>
        <v/>
      </c>
    </row>
    <row r="63" spans="1:4" x14ac:dyDescent="0.25">
      <c r="A63" t="str">
        <f>IFERROR(IF(LEFT(Plant_Branch!B63,1)="7",Plant_Branch!B63,LEFT(Plant_Branch!C63,4)&amp;LEFT(RIGHT(Plant_Branch!C63,LEN(Plant_Branch!C63)-FIND(" ",Plant_Branch!C63)),4)),"")</f>
        <v/>
      </c>
      <c r="B63" t="str">
        <f>IF(Plant_Branch!A63="","",Plant_Branch!A63)</f>
        <v/>
      </c>
      <c r="C63" t="str">
        <f>IF(PlantList!E63="","",PlantList!E63)</f>
        <v/>
      </c>
      <c r="D63" t="str">
        <f t="shared" si="1"/>
        <v/>
      </c>
    </row>
    <row r="64" spans="1:4" x14ac:dyDescent="0.25">
      <c r="A64" t="str">
        <f>IFERROR(IF(LEFT(Plant_Branch!B64,1)="7",Plant_Branch!B64,LEFT(Plant_Branch!C64,4)&amp;LEFT(RIGHT(Plant_Branch!C64,LEN(Plant_Branch!C64)-FIND(" ",Plant_Branch!C64)),4)),"")</f>
        <v/>
      </c>
      <c r="B64" t="str">
        <f>IF(Plant_Branch!A64="","",Plant_Branch!A64)</f>
        <v/>
      </c>
      <c r="C64" t="str">
        <f>IF(PlantList!E64="","",PlantList!E64)</f>
        <v/>
      </c>
      <c r="D64" t="str">
        <f t="shared" si="1"/>
        <v/>
      </c>
    </row>
    <row r="65" spans="1:4" x14ac:dyDescent="0.25">
      <c r="A65" t="str">
        <f>IFERROR(IF(LEFT(Plant_Branch!B65,1)="7",Plant_Branch!B65,LEFT(Plant_Branch!C65,4)&amp;LEFT(RIGHT(Plant_Branch!C65,LEN(Plant_Branch!C65)-FIND(" ",Plant_Branch!C65)),4)),"")</f>
        <v/>
      </c>
      <c r="B65" t="str">
        <f>IF(Plant_Branch!A65="","",Plant_Branch!A65)</f>
        <v/>
      </c>
      <c r="C65" t="str">
        <f>IF(PlantList!E65="","",PlantList!E65)</f>
        <v/>
      </c>
      <c r="D65" t="str">
        <f t="shared" si="1"/>
        <v/>
      </c>
    </row>
    <row r="66" spans="1:4" x14ac:dyDescent="0.25">
      <c r="A66" t="str">
        <f>IFERROR(IF(LEFT(Plant_Branch!B66,1)="7",Plant_Branch!B66,LEFT(Plant_Branch!C66,4)&amp;LEFT(RIGHT(Plant_Branch!C66,LEN(Plant_Branch!C66)-FIND(" ",Plant_Branch!C66)),4)),"")</f>
        <v/>
      </c>
      <c r="B66" t="str">
        <f>IF(Plant_Branch!A66="","",Plant_Branch!A66)</f>
        <v/>
      </c>
      <c r="C66" t="str">
        <f>IF(PlantList!E66="","",PlantList!E66)</f>
        <v/>
      </c>
      <c r="D66" t="str">
        <f t="shared" si="1"/>
        <v/>
      </c>
    </row>
    <row r="67" spans="1:4" x14ac:dyDescent="0.25">
      <c r="A67" t="str">
        <f>IFERROR(IF(LEFT(Plant_Branch!B67,1)="7",Plant_Branch!B67,LEFT(Plant_Branch!C67,4)&amp;LEFT(RIGHT(Plant_Branch!C67,LEN(Plant_Branch!C67)-FIND(" ",Plant_Branch!C67)),4)),"")</f>
        <v/>
      </c>
      <c r="B67" t="str">
        <f>IF(Plant_Branch!A67="","",Plant_Branch!A67)</f>
        <v/>
      </c>
      <c r="C67" t="str">
        <f>IF(PlantList!E67="","",PlantList!E67)</f>
        <v/>
      </c>
      <c r="D67" t="str">
        <f t="shared" ref="D67:D82" si="3">IF(C67="","",IF(B67="","",B67 &amp; "-" &amp; C67))</f>
        <v/>
      </c>
    </row>
    <row r="68" spans="1:4" x14ac:dyDescent="0.25">
      <c r="A68" t="str">
        <f>IFERROR(IF(LEFT(Plant_Branch!B68,1)="7",Plant_Branch!B68,LEFT(Plant_Branch!C68,4)&amp;LEFT(RIGHT(Plant_Branch!C68,LEN(Plant_Branch!C68)-FIND(" ",Plant_Branch!C68)),4)),"")</f>
        <v/>
      </c>
      <c r="B68" t="str">
        <f>IF(Plant_Branch!A68="","",Plant_Branch!A68)</f>
        <v/>
      </c>
      <c r="C68" t="str">
        <f>IF(PlantList!E68="","",PlantList!E68)</f>
        <v/>
      </c>
      <c r="D68" t="str">
        <f t="shared" si="3"/>
        <v/>
      </c>
    </row>
    <row r="69" spans="1:4" x14ac:dyDescent="0.25">
      <c r="A69" t="str">
        <f>IFERROR(IF(LEFT(Plant_Branch!B69,1)="7",Plant_Branch!B69,LEFT(Plant_Branch!C69,4)&amp;LEFT(RIGHT(Plant_Branch!C69,LEN(Plant_Branch!C69)-FIND(" ",Plant_Branch!C69)),4)),"")</f>
        <v/>
      </c>
      <c r="B69" t="str">
        <f>IF(Plant_Branch!A69="","",Plant_Branch!A69)</f>
        <v/>
      </c>
      <c r="C69" t="str">
        <f>IF(PlantList!E69="","",PlantList!E69)</f>
        <v/>
      </c>
      <c r="D69" t="str">
        <f t="shared" si="3"/>
        <v/>
      </c>
    </row>
    <row r="70" spans="1:4" x14ac:dyDescent="0.25">
      <c r="A70" t="str">
        <f>IFERROR(IF(LEFT(Plant_Branch!B70,1)="7",Plant_Branch!B70,LEFT(Plant_Branch!C70,4)&amp;LEFT(RIGHT(Plant_Branch!C70,LEN(Plant_Branch!C70)-FIND(" ",Plant_Branch!C70)),4)),"")</f>
        <v/>
      </c>
      <c r="B70" t="str">
        <f>IF(Plant_Branch!A70="","",Plant_Branch!A70)</f>
        <v/>
      </c>
      <c r="C70" t="str">
        <f>IF(PlantList!E70="","",PlantList!E70)</f>
        <v/>
      </c>
      <c r="D70" t="str">
        <f t="shared" si="3"/>
        <v/>
      </c>
    </row>
    <row r="71" spans="1:4" x14ac:dyDescent="0.25">
      <c r="A71" t="str">
        <f>IFERROR(IF(LEFT(Plant_Branch!B71,1)="7",Plant_Branch!B71,LEFT(Plant_Branch!C71,4)&amp;LEFT(RIGHT(Plant_Branch!C71,LEN(Plant_Branch!C71)-FIND(" ",Plant_Branch!C71)),4)),"")</f>
        <v/>
      </c>
      <c r="B71" t="str">
        <f>IF(Plant_Branch!A71="","",Plant_Branch!A71)</f>
        <v/>
      </c>
      <c r="C71" t="str">
        <f>IF(PlantList!E71="","",PlantList!E71)</f>
        <v/>
      </c>
      <c r="D71" t="str">
        <f t="shared" si="3"/>
        <v/>
      </c>
    </row>
    <row r="72" spans="1:4" x14ac:dyDescent="0.25">
      <c r="A72" t="str">
        <f>IFERROR(IF(LEFT(Plant_Branch!B72,1)="7",Plant_Branch!B72,LEFT(Plant_Branch!C72,4)&amp;LEFT(RIGHT(Plant_Branch!C72,LEN(Plant_Branch!C72)-FIND(" ",Plant_Branch!C72)),4)),"")</f>
        <v/>
      </c>
      <c r="B72" t="str">
        <f>IF(Plant_Branch!A72="","",Plant_Branch!A72)</f>
        <v/>
      </c>
      <c r="C72" t="str">
        <f>IF(PlantList!E72="","",PlantList!E72)</f>
        <v/>
      </c>
      <c r="D72" t="str">
        <f t="shared" si="3"/>
        <v/>
      </c>
    </row>
    <row r="73" spans="1:4" x14ac:dyDescent="0.25">
      <c r="A73" t="str">
        <f>IFERROR(IF(LEFT(Plant_Branch!B73,1)="7",Plant_Branch!B73,LEFT(Plant_Branch!C73,4)&amp;LEFT(RIGHT(Plant_Branch!C73,LEN(Plant_Branch!C73)-FIND(" ",Plant_Branch!C73)),4)),"")</f>
        <v/>
      </c>
      <c r="B73" t="str">
        <f>IF(Plant_Branch!A73="","",Plant_Branch!A73)</f>
        <v/>
      </c>
      <c r="C73" t="str">
        <f>IF(PlantList!E73="","",PlantList!E73)</f>
        <v/>
      </c>
      <c r="D73" t="str">
        <f t="shared" si="3"/>
        <v/>
      </c>
    </row>
    <row r="74" spans="1:4" x14ac:dyDescent="0.25">
      <c r="A74" t="str">
        <f>IFERROR(IF(LEFT(Plant_Branch!B74,1)="7",Plant_Branch!B74,LEFT(Plant_Branch!C74,4)&amp;LEFT(RIGHT(Plant_Branch!C74,LEN(Plant_Branch!C74)-FIND(" ",Plant_Branch!C74)),4)),"")</f>
        <v/>
      </c>
      <c r="B74" t="str">
        <f>IF(Plant_Branch!A74="","",Plant_Branch!A74)</f>
        <v/>
      </c>
      <c r="C74" t="str">
        <f>IF(PlantList!E74="","",PlantList!E74)</f>
        <v/>
      </c>
      <c r="D74" t="str">
        <f t="shared" si="3"/>
        <v/>
      </c>
    </row>
    <row r="75" spans="1:4" x14ac:dyDescent="0.25">
      <c r="A75" t="str">
        <f>IFERROR(IF(LEFT(Plant_Branch!B75,1)="7",Plant_Branch!B75,LEFT(Plant_Branch!C75,4)&amp;LEFT(RIGHT(Plant_Branch!C75,LEN(Plant_Branch!C75)-FIND(" ",Plant_Branch!C75)),4)),"")</f>
        <v/>
      </c>
      <c r="B75" t="str">
        <f>IF(Plant_Branch!A75="","",Plant_Branch!A75)</f>
        <v/>
      </c>
      <c r="C75" t="str">
        <f>IF(PlantList!E75="","",PlantList!E75)</f>
        <v/>
      </c>
      <c r="D75" t="str">
        <f t="shared" si="3"/>
        <v/>
      </c>
    </row>
    <row r="76" spans="1:4" x14ac:dyDescent="0.25">
      <c r="A76" t="str">
        <f>IFERROR(IF(LEFT(Plant_Branch!B76,1)="7",Plant_Branch!B76,LEFT(Plant_Branch!C76,4)&amp;LEFT(RIGHT(Plant_Branch!C76,LEN(Plant_Branch!C76)-FIND(" ",Plant_Branch!C76)),4)),"")</f>
        <v/>
      </c>
      <c r="B76" t="str">
        <f>IF(Plant_Branch!A76="","",Plant_Branch!A76)</f>
        <v/>
      </c>
      <c r="C76" t="str">
        <f>IF(PlantList!E76="","",PlantList!E76)</f>
        <v/>
      </c>
      <c r="D76" t="str">
        <f t="shared" si="3"/>
        <v/>
      </c>
    </row>
    <row r="77" spans="1:4" x14ac:dyDescent="0.25">
      <c r="A77" t="str">
        <f>IFERROR(IF(LEFT(Plant_Branch!B77,1)="7",Plant_Branch!B77,LEFT(Plant_Branch!C77,4)&amp;LEFT(RIGHT(Plant_Branch!C77,LEN(Plant_Branch!C77)-FIND(" ",Plant_Branch!C77)),4)),"")</f>
        <v/>
      </c>
      <c r="B77" t="str">
        <f>IF(Plant_Branch!A77="","",Plant_Branch!A77)</f>
        <v/>
      </c>
      <c r="C77" t="str">
        <f>IF(PlantList!E77="","",PlantList!E77)</f>
        <v/>
      </c>
      <c r="D77" t="str">
        <f t="shared" si="3"/>
        <v/>
      </c>
    </row>
    <row r="78" spans="1:4" x14ac:dyDescent="0.25">
      <c r="A78" t="str">
        <f>IFERROR(IF(LEFT(Plant_Branch!B78,1)="7",Plant_Branch!B78,LEFT(Plant_Branch!C78,4)&amp;LEFT(RIGHT(Plant_Branch!C78,LEN(Plant_Branch!C78)-FIND(" ",Plant_Branch!C78)),4)),"")</f>
        <v/>
      </c>
      <c r="B78" t="str">
        <f>IF(Plant_Branch!A78="","",Plant_Branch!A78)</f>
        <v/>
      </c>
      <c r="C78" t="str">
        <f>IF(PlantList!E78="","",PlantList!E78)</f>
        <v/>
      </c>
      <c r="D78" t="str">
        <f t="shared" si="3"/>
        <v/>
      </c>
    </row>
    <row r="79" spans="1:4" x14ac:dyDescent="0.25">
      <c r="A79" t="str">
        <f>IFERROR(IF(LEFT(Plant_Branch!B79,1)="7",Plant_Branch!B79,LEFT(Plant_Branch!C79,4)&amp;LEFT(RIGHT(Plant_Branch!C79,LEN(Plant_Branch!C79)-FIND(" ",Plant_Branch!C79)),4)),"")</f>
        <v/>
      </c>
      <c r="B79" t="str">
        <f>IF(Plant_Branch!A79="","",Plant_Branch!A79)</f>
        <v/>
      </c>
      <c r="C79" t="str">
        <f>IF(PlantList!E79="","",PlantList!E79)</f>
        <v/>
      </c>
      <c r="D79" t="str">
        <f t="shared" si="3"/>
        <v/>
      </c>
    </row>
    <row r="80" spans="1:4" x14ac:dyDescent="0.25">
      <c r="A80" t="str">
        <f>IFERROR(IF(LEFT(Plant_Branch!B80,1)="7",Plant_Branch!B80,LEFT(Plant_Branch!C80,4)&amp;LEFT(RIGHT(Plant_Branch!C80,LEN(Plant_Branch!C80)-FIND(" ",Plant_Branch!C80)),4)),"")</f>
        <v/>
      </c>
      <c r="B80" t="str">
        <f>IF(Plant_Branch!A80="","",Plant_Branch!A80)</f>
        <v/>
      </c>
      <c r="C80" t="str">
        <f>IF(PlantList!E80="","",PlantList!E80)</f>
        <v/>
      </c>
      <c r="D80" t="str">
        <f t="shared" si="3"/>
        <v/>
      </c>
    </row>
    <row r="81" spans="1:4" x14ac:dyDescent="0.25">
      <c r="A81" t="str">
        <f>IFERROR(IF(LEFT(Plant_Branch!B81,1)="7",Plant_Branch!B81,LEFT(Plant_Branch!C81,4)&amp;LEFT(RIGHT(Plant_Branch!C81,LEN(Plant_Branch!C81)-FIND(" ",Plant_Branch!C81)),4)),"")</f>
        <v/>
      </c>
      <c r="B81" t="str">
        <f>IF(Plant_Branch!A81="","",Plant_Branch!A81)</f>
        <v/>
      </c>
      <c r="C81" t="str">
        <f>IF(PlantList!E81="","",PlantList!E81)</f>
        <v/>
      </c>
      <c r="D81" t="str">
        <f t="shared" si="3"/>
        <v/>
      </c>
    </row>
    <row r="82" spans="1:4" x14ac:dyDescent="0.25">
      <c r="A82" t="str">
        <f>IFERROR(IF(LEFT(Plant_Branch!B82,1)="7",Plant_Branch!B82,LEFT(Plant_Branch!C82,4)&amp;LEFT(RIGHT(Plant_Branch!C82,LEN(Plant_Branch!C82)-FIND(" ",Plant_Branch!C82)),4)),"")</f>
        <v/>
      </c>
      <c r="B82" t="str">
        <f>IF(Plant_Branch!A82="","",Plant_Branch!A82)</f>
        <v/>
      </c>
      <c r="C82" t="str">
        <f>IF(PlantList!E82="","",PlantList!E82)</f>
        <v/>
      </c>
      <c r="D82" t="str">
        <f t="shared" si="3"/>
        <v/>
      </c>
    </row>
    <row r="83" spans="1:4" x14ac:dyDescent="0.25">
      <c r="A83" t="str">
        <f>IFERROR(IF(LEFT(Plant_Branch!B83,1)="7",Plant_Branch!B83,LEFT(Plant_Branch!C83,4)&amp;LEFT(RIGHT(Plant_Branch!C83,LEN(Plant_Branch!C83)-FIND(" ",Plant_Branch!C83)),4)),"")</f>
        <v/>
      </c>
      <c r="B83" t="str">
        <f>IF(Plant_Branch!A83="","",Plant_Branch!A83)</f>
        <v/>
      </c>
      <c r="C83" t="str">
        <f>IF(PlantList!E83="","",PlantList!E83)</f>
        <v/>
      </c>
      <c r="D83" t="str">
        <f t="shared" ref="D83" si="4">IF(C83="","",IF(B83="","",B83 &amp; "-" &amp; C83))</f>
        <v/>
      </c>
    </row>
    <row r="271" spans="3:4" x14ac:dyDescent="0.25">
      <c r="C271" t="str">
        <f>IF(PlantList!E271="","",PlantList!E271)</f>
        <v/>
      </c>
      <c r="D271" t="str">
        <f t="shared" ref="D271:D275" si="5">IF(C271="","",IF(B271="","",B271 &amp; "-" &amp; C271))</f>
        <v/>
      </c>
    </row>
    <row r="272" spans="3:4" x14ac:dyDescent="0.25">
      <c r="C272" t="str">
        <f>IF(PlantList!E272="","",PlantList!E272)</f>
        <v/>
      </c>
      <c r="D272" t="str">
        <f t="shared" si="5"/>
        <v/>
      </c>
    </row>
    <row r="273" spans="3:4" x14ac:dyDescent="0.25">
      <c r="C273" t="str">
        <f>IF(PlantList!E273="","",PlantList!E273)</f>
        <v/>
      </c>
      <c r="D273" t="str">
        <f t="shared" si="5"/>
        <v/>
      </c>
    </row>
    <row r="274" spans="3:4" x14ac:dyDescent="0.25">
      <c r="C274" t="str">
        <f>IF(PlantList!E274="","",PlantList!E274)</f>
        <v/>
      </c>
      <c r="D274" t="str">
        <f t="shared" si="5"/>
        <v/>
      </c>
    </row>
    <row r="275" spans="3:4" x14ac:dyDescent="0.25">
      <c r="C275" t="str">
        <f>IF(PlantList!E275="","",PlantList!E275)</f>
        <v/>
      </c>
      <c r="D275" t="str">
        <f t="shared" si="5"/>
        <v/>
      </c>
    </row>
    <row r="276" spans="3:4" x14ac:dyDescent="0.25">
      <c r="C276" t="str">
        <f>IF(PlantList!E276="","",PlantList!E276)</f>
        <v/>
      </c>
      <c r="D276" t="str">
        <f>IF(C276="","",IF(#REF!="","",#REF! &amp; "-" &amp; C276))</f>
        <v/>
      </c>
    </row>
    <row r="277" spans="3:4" x14ac:dyDescent="0.25">
      <c r="C277" t="str">
        <f>IF(PlantList!E277="","",PlantList!E277)</f>
        <v/>
      </c>
      <c r="D277" t="str">
        <f>IF(C277="","",IF(#REF!="","",#REF! &amp; "-" &amp; C277))</f>
        <v/>
      </c>
    </row>
    <row r="278" spans="3:4" x14ac:dyDescent="0.25">
      <c r="C278" t="str">
        <f>IF(PlantList!E278="","",PlantList!E278)</f>
        <v/>
      </c>
      <c r="D278" t="str">
        <f>IF(C278="","",IF(#REF!="","",#REF! &amp; "-" &amp; C278))</f>
        <v/>
      </c>
    </row>
    <row r="279" spans="3:4" x14ac:dyDescent="0.25">
      <c r="C279" t="str">
        <f>IF(PlantList!E279="","",PlantList!E279)</f>
        <v/>
      </c>
      <c r="D279" t="str">
        <f>IF(C279="","",IF(#REF!="","",#REF! &amp; "-" &amp; C279))</f>
        <v/>
      </c>
    </row>
    <row r="280" spans="3:4" x14ac:dyDescent="0.25">
      <c r="D280" t="str">
        <f>IF(C280="","",IF(#REF!="","",#REF! &amp; "-" &amp; C280))</f>
        <v/>
      </c>
    </row>
    <row r="281" spans="3:4" x14ac:dyDescent="0.25">
      <c r="D281" t="str">
        <f>IF(C281="","",IF(#REF!="","",#REF! &amp; "-" &amp; C281))</f>
        <v/>
      </c>
    </row>
    <row r="282" spans="3:4" x14ac:dyDescent="0.25">
      <c r="D282" t="str">
        <f>IF(C282="","",IF(#REF!="","",#REF! &amp; "-" &amp; C282))</f>
        <v/>
      </c>
    </row>
    <row r="283" spans="3:4" x14ac:dyDescent="0.25">
      <c r="D283" t="str">
        <f>IF(C283="","",IF(#REF!="","",#REF! &amp; "-" &amp; C283))</f>
        <v/>
      </c>
    </row>
    <row r="284" spans="3:4" x14ac:dyDescent="0.25">
      <c r="D284" t="str">
        <f>IF(C284="","",IF(#REF!="","",#REF! &amp; "-" &amp; C284))</f>
        <v/>
      </c>
    </row>
    <row r="285" spans="3:4" x14ac:dyDescent="0.25">
      <c r="D285" t="str">
        <f>IF(C285="","",IF(#REF!="","",#REF! &amp; "-" &amp; C285))</f>
        <v/>
      </c>
    </row>
    <row r="286" spans="3:4" x14ac:dyDescent="0.25">
      <c r="D286" t="str">
        <f>IF(C286="","",IF(#REF!="","",#REF! &amp; "-" &amp; C286))</f>
        <v/>
      </c>
    </row>
    <row r="287" spans="3:4" x14ac:dyDescent="0.25">
      <c r="D287" t="str">
        <f>IF(C287="","",IF(#REF!="","",#REF! &amp; "-" &amp; C287))</f>
        <v/>
      </c>
    </row>
    <row r="288" spans="3:4" x14ac:dyDescent="0.25">
      <c r="D288" t="str">
        <f>IF(C288="","",IF(#REF!="","",#REF! &amp; "-" &amp; C288))</f>
        <v/>
      </c>
    </row>
    <row r="289" spans="4:4" x14ac:dyDescent="0.25">
      <c r="D289" t="str">
        <f>IF(C289="","",IF(#REF!="","",#REF! &amp; "-" &amp; C289))</f>
        <v/>
      </c>
    </row>
    <row r="290" spans="4:4" x14ac:dyDescent="0.25">
      <c r="D290" t="str">
        <f>IF(C290="","",IF(#REF!="","",#REF! &amp; "-" &amp; C290))</f>
        <v/>
      </c>
    </row>
    <row r="291" spans="4:4" x14ac:dyDescent="0.25">
      <c r="D291" t="str">
        <f>IF(C291="","",IF(#REF!="","",#REF! &amp; "-" &amp; C291))</f>
        <v/>
      </c>
    </row>
    <row r="292" spans="4:4" x14ac:dyDescent="0.25">
      <c r="D292" t="str">
        <f>IF(C292="","",IF(#REF!="","",#REF! &amp; "-" &amp; C292))</f>
        <v/>
      </c>
    </row>
  </sheetData>
  <phoneticPr fontId="5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5DD0-5DF3-4591-834C-F9AA114C020A}">
  <sheetPr codeName="Sheet5"/>
  <dimension ref="A1:I55"/>
  <sheetViews>
    <sheetView workbookViewId="0">
      <selection activeCell="I21" sqref="I21"/>
    </sheetView>
  </sheetViews>
  <sheetFormatPr defaultRowHeight="13.8" x14ac:dyDescent="0.25"/>
  <cols>
    <col min="1" max="1" width="24.09765625" bestFit="1" customWidth="1"/>
    <col min="2" max="2" width="17.8984375" bestFit="1" customWidth="1"/>
    <col min="3" max="3" width="10.796875" bestFit="1" customWidth="1"/>
    <col min="4" max="8" width="9.09765625" customWidth="1"/>
    <col min="9" max="9" width="16.796875" bestFit="1" customWidth="1"/>
  </cols>
  <sheetData>
    <row r="1" spans="1:9" x14ac:dyDescent="0.25">
      <c r="A1" s="5" t="s">
        <v>3</v>
      </c>
      <c r="B1" s="5" t="s">
        <v>5</v>
      </c>
      <c r="C1" s="5" t="s">
        <v>6</v>
      </c>
    </row>
    <row r="2" spans="1:9" x14ac:dyDescent="0.25">
      <c r="A2" s="6" t="s">
        <v>7</v>
      </c>
      <c r="B2" s="3" t="s">
        <v>8</v>
      </c>
      <c r="C2" s="7">
        <v>3201</v>
      </c>
      <c r="H2">
        <f>Final!E12</f>
        <v>0</v>
      </c>
      <c r="I2" t="str">
        <f t="shared" ref="I2:I9" si="0">IFERROR(INDEX($A$2:$A$55, MATCH(H2, $C$2:$C$55, 0)), "")</f>
        <v/>
      </c>
    </row>
    <row r="3" spans="1:9" x14ac:dyDescent="0.25">
      <c r="A3" s="6" t="s">
        <v>7</v>
      </c>
      <c r="B3" s="3" t="s">
        <v>9</v>
      </c>
      <c r="C3" s="7">
        <v>3401</v>
      </c>
      <c r="H3" t="str">
        <f>IF(Final!E13 = "","", Final!E13)</f>
        <v/>
      </c>
      <c r="I3" t="str">
        <f t="shared" si="0"/>
        <v/>
      </c>
    </row>
    <row r="4" spans="1:9" x14ac:dyDescent="0.25">
      <c r="A4" s="6" t="s">
        <v>7</v>
      </c>
      <c r="B4" s="4"/>
      <c r="C4" s="7">
        <v>3403</v>
      </c>
      <c r="H4" t="str">
        <f>IF(Final!E14 = "","", Final!E14)</f>
        <v/>
      </c>
      <c r="I4" t="str">
        <f t="shared" si="0"/>
        <v/>
      </c>
    </row>
    <row r="5" spans="1:9" x14ac:dyDescent="0.25">
      <c r="A5" s="6" t="s">
        <v>7</v>
      </c>
      <c r="B5" s="4"/>
      <c r="C5" s="7">
        <v>3406</v>
      </c>
      <c r="H5" t="str">
        <f>IF(Final!E15 = "","", Final!E15)</f>
        <v/>
      </c>
      <c r="I5" t="str">
        <f t="shared" si="0"/>
        <v/>
      </c>
    </row>
    <row r="6" spans="1:9" x14ac:dyDescent="0.25">
      <c r="A6" s="6" t="s">
        <v>7</v>
      </c>
      <c r="B6" s="3" t="s">
        <v>10</v>
      </c>
      <c r="C6" s="7">
        <v>3400</v>
      </c>
      <c r="H6" t="str">
        <f>IF(Final!E16 = "","", Final!E16)</f>
        <v/>
      </c>
      <c r="I6" t="str">
        <f t="shared" si="0"/>
        <v/>
      </c>
    </row>
    <row r="7" spans="1:9" x14ac:dyDescent="0.25">
      <c r="A7" s="6" t="s">
        <v>7</v>
      </c>
      <c r="B7" s="4"/>
      <c r="C7" s="7">
        <v>3405</v>
      </c>
      <c r="H7" t="str">
        <f>IF(Final!E17 = "","", Final!E17)</f>
        <v/>
      </c>
      <c r="I7" t="str">
        <f t="shared" si="0"/>
        <v/>
      </c>
    </row>
    <row r="8" spans="1:9" x14ac:dyDescent="0.25">
      <c r="A8" s="6" t="s">
        <v>7</v>
      </c>
      <c r="B8" s="4"/>
      <c r="C8" s="7">
        <v>3408</v>
      </c>
      <c r="H8" t="str">
        <f>IF(Final!E18 = "","", Final!E18)</f>
        <v/>
      </c>
      <c r="I8" t="str">
        <f t="shared" si="0"/>
        <v/>
      </c>
    </row>
    <row r="9" spans="1:9" x14ac:dyDescent="0.25">
      <c r="A9" s="6" t="s">
        <v>7</v>
      </c>
      <c r="B9" s="3" t="s">
        <v>11</v>
      </c>
      <c r="C9" s="7">
        <v>3402</v>
      </c>
      <c r="H9" t="str">
        <f>IF(Final!E19 = "","", Final!E19)</f>
        <v/>
      </c>
      <c r="I9" t="str">
        <f t="shared" si="0"/>
        <v/>
      </c>
    </row>
    <row r="10" spans="1:9" x14ac:dyDescent="0.25">
      <c r="A10" s="6" t="s">
        <v>7</v>
      </c>
      <c r="B10" s="4"/>
      <c r="C10" s="7">
        <v>3404</v>
      </c>
      <c r="H10" t="str">
        <f>IF(Final!E20 = "","", Final!E20)</f>
        <v/>
      </c>
    </row>
    <row r="11" spans="1:9" x14ac:dyDescent="0.25">
      <c r="A11" s="6" t="s">
        <v>7</v>
      </c>
      <c r="B11" s="4"/>
      <c r="C11" s="7">
        <v>3407</v>
      </c>
      <c r="H11" t="str">
        <f>IF(Final!E21 = "","", Final!E21)</f>
        <v/>
      </c>
    </row>
    <row r="12" spans="1:9" x14ac:dyDescent="0.25">
      <c r="A12" s="6" t="s">
        <v>7</v>
      </c>
      <c r="B12" s="3" t="s">
        <v>12</v>
      </c>
      <c r="C12" s="7">
        <v>3501</v>
      </c>
      <c r="H12" t="str">
        <f>IF(Final!K2 = "","", Final!K2)</f>
        <v/>
      </c>
    </row>
    <row r="13" spans="1:9" x14ac:dyDescent="0.25">
      <c r="A13" s="6" t="s">
        <v>7</v>
      </c>
      <c r="B13" s="4"/>
      <c r="C13" s="7">
        <v>3502</v>
      </c>
      <c r="H13" t="str">
        <f>IF(Final!E23 = "","", Final!E23)</f>
        <v/>
      </c>
    </row>
    <row r="14" spans="1:9" x14ac:dyDescent="0.25">
      <c r="A14" s="6" t="s">
        <v>7</v>
      </c>
      <c r="B14" s="4"/>
      <c r="C14" s="7">
        <v>3504</v>
      </c>
      <c r="H14" t="str">
        <f>IF(Final!E24 = "","", Final!E24)</f>
        <v/>
      </c>
    </row>
    <row r="15" spans="1:9" x14ac:dyDescent="0.25">
      <c r="A15" s="6" t="s">
        <v>7</v>
      </c>
      <c r="B15" s="4"/>
      <c r="C15" s="7">
        <v>3503</v>
      </c>
      <c r="H15" t="str">
        <f>IF(Final!E25 = "","", Final!E25)</f>
        <v/>
      </c>
    </row>
    <row r="16" spans="1:9" x14ac:dyDescent="0.25">
      <c r="A16" s="6" t="s">
        <v>7</v>
      </c>
      <c r="B16" s="4"/>
      <c r="C16" s="7">
        <v>3202</v>
      </c>
      <c r="H16" t="str">
        <f>IF(Final!E26 = "","", Final!E26)</f>
        <v/>
      </c>
    </row>
    <row r="17" spans="1:8" x14ac:dyDescent="0.25">
      <c r="A17" s="6" t="s">
        <v>7</v>
      </c>
      <c r="B17" s="4"/>
      <c r="C17" s="7">
        <v>3505</v>
      </c>
      <c r="H17" t="str">
        <f>IF(Final!E27 = "","", Final!E27)</f>
        <v/>
      </c>
    </row>
    <row r="18" spans="1:8" x14ac:dyDescent="0.25">
      <c r="A18" s="6" t="s">
        <v>7</v>
      </c>
      <c r="B18" s="4"/>
      <c r="C18" s="7">
        <v>3506</v>
      </c>
      <c r="H18" t="str">
        <f>IF(Final!E28 = "","", Final!E28)</f>
        <v/>
      </c>
    </row>
    <row r="19" spans="1:8" x14ac:dyDescent="0.25">
      <c r="A19" s="6" t="s">
        <v>7</v>
      </c>
      <c r="B19" s="3" t="s">
        <v>13</v>
      </c>
      <c r="C19" s="7">
        <v>3451</v>
      </c>
      <c r="H19" t="str">
        <f>IF(Final!E29 = "","", Final!E29)</f>
        <v/>
      </c>
    </row>
    <row r="20" spans="1:8" x14ac:dyDescent="0.25">
      <c r="A20" s="6" t="s">
        <v>7</v>
      </c>
      <c r="B20" s="4"/>
      <c r="C20" s="7">
        <v>3453</v>
      </c>
      <c r="H20" t="str">
        <f>IF(Final!E30 = "","", Final!E30)</f>
        <v/>
      </c>
    </row>
    <row r="21" spans="1:8" x14ac:dyDescent="0.25">
      <c r="A21" s="6" t="s">
        <v>7</v>
      </c>
      <c r="B21" s="4"/>
      <c r="C21" s="7">
        <v>3456</v>
      </c>
      <c r="H21" t="str">
        <f>IF(Final!E31 = "","", Final!E31)</f>
        <v/>
      </c>
    </row>
    <row r="22" spans="1:8" x14ac:dyDescent="0.25">
      <c r="A22" s="6" t="s">
        <v>7</v>
      </c>
      <c r="B22" s="4"/>
      <c r="C22" s="7">
        <v>3452</v>
      </c>
      <c r="H22" t="str">
        <f>IF(Final!E32 = "","", Final!E32)</f>
        <v/>
      </c>
    </row>
    <row r="23" spans="1:8" x14ac:dyDescent="0.25">
      <c r="A23" s="6" t="s">
        <v>7</v>
      </c>
      <c r="B23" s="4"/>
      <c r="C23" s="7">
        <v>3454</v>
      </c>
      <c r="H23" t="str">
        <f>IF(Final!E33 = "","", Final!E33)</f>
        <v/>
      </c>
    </row>
    <row r="24" spans="1:8" x14ac:dyDescent="0.25">
      <c r="A24" s="6" t="s">
        <v>7</v>
      </c>
      <c r="B24" s="4"/>
      <c r="C24" s="7">
        <v>3455</v>
      </c>
      <c r="H24" t="str">
        <f>IF(Final!E34 = "","", Final!E34)</f>
        <v/>
      </c>
    </row>
    <row r="25" spans="1:8" x14ac:dyDescent="0.25">
      <c r="A25" s="6" t="s">
        <v>14</v>
      </c>
      <c r="B25" s="3" t="s">
        <v>15</v>
      </c>
      <c r="C25" s="7">
        <v>3203</v>
      </c>
      <c r="H25" t="str">
        <f>IF(Final!E35 = "","", Final!E35)</f>
        <v/>
      </c>
    </row>
    <row r="26" spans="1:8" x14ac:dyDescent="0.25">
      <c r="A26" s="6" t="s">
        <v>14</v>
      </c>
      <c r="B26" s="4"/>
      <c r="C26" s="7">
        <v>3554</v>
      </c>
      <c r="H26" t="str">
        <f>IF(Final!E36 = "","", Final!E36)</f>
        <v/>
      </c>
    </row>
    <row r="27" spans="1:8" x14ac:dyDescent="0.25">
      <c r="A27" s="6" t="s">
        <v>14</v>
      </c>
      <c r="B27" s="4"/>
      <c r="C27" s="7">
        <v>3552</v>
      </c>
      <c r="H27" t="str">
        <f>IF(Final!E37 = "","", Final!E37)</f>
        <v/>
      </c>
    </row>
    <row r="28" spans="1:8" x14ac:dyDescent="0.25">
      <c r="A28" s="6" t="s">
        <v>14</v>
      </c>
      <c r="B28" s="4"/>
      <c r="C28" s="7">
        <v>3551</v>
      </c>
    </row>
    <row r="29" spans="1:8" x14ac:dyDescent="0.25">
      <c r="A29" s="6" t="s">
        <v>14</v>
      </c>
      <c r="B29" s="4"/>
      <c r="C29" s="7">
        <v>3555</v>
      </c>
    </row>
    <row r="30" spans="1:8" x14ac:dyDescent="0.25">
      <c r="A30" s="6" t="s">
        <v>14</v>
      </c>
      <c r="B30" s="4"/>
      <c r="C30" s="7">
        <v>3553</v>
      </c>
    </row>
    <row r="31" spans="1:8" x14ac:dyDescent="0.25">
      <c r="A31" s="6" t="s">
        <v>14</v>
      </c>
      <c r="B31" s="3" t="s">
        <v>16</v>
      </c>
      <c r="C31" s="7">
        <v>3576</v>
      </c>
    </row>
    <row r="32" spans="1:8" x14ac:dyDescent="0.25">
      <c r="A32" s="6" t="s">
        <v>14</v>
      </c>
      <c r="B32" s="4"/>
      <c r="C32" s="7">
        <v>3577</v>
      </c>
    </row>
    <row r="33" spans="1:3" x14ac:dyDescent="0.25">
      <c r="A33" s="6" t="s">
        <v>14</v>
      </c>
      <c r="B33" s="4"/>
      <c r="C33" s="7">
        <v>3578</v>
      </c>
    </row>
    <row r="34" spans="1:3" x14ac:dyDescent="0.25">
      <c r="A34" s="6" t="s">
        <v>14</v>
      </c>
      <c r="B34" s="4"/>
      <c r="C34" s="7">
        <v>3579</v>
      </c>
    </row>
    <row r="35" spans="1:3" x14ac:dyDescent="0.25">
      <c r="A35" s="6" t="s">
        <v>14</v>
      </c>
      <c r="B35" s="4"/>
      <c r="C35" s="7">
        <v>3580</v>
      </c>
    </row>
    <row r="36" spans="1:3" x14ac:dyDescent="0.25">
      <c r="A36" s="6" t="s">
        <v>14</v>
      </c>
      <c r="B36" s="4"/>
      <c r="C36" s="7">
        <v>3581</v>
      </c>
    </row>
    <row r="37" spans="1:3" x14ac:dyDescent="0.25">
      <c r="A37" s="6" t="s">
        <v>14</v>
      </c>
      <c r="B37" s="4"/>
      <c r="C37" s="7">
        <v>3582</v>
      </c>
    </row>
    <row r="38" spans="1:3" x14ac:dyDescent="0.25">
      <c r="A38" s="6" t="s">
        <v>17</v>
      </c>
      <c r="B38" s="3" t="s">
        <v>18</v>
      </c>
      <c r="C38" s="7">
        <v>3204</v>
      </c>
    </row>
    <row r="39" spans="1:3" x14ac:dyDescent="0.25">
      <c r="A39" s="6" t="s">
        <v>17</v>
      </c>
      <c r="B39" s="4"/>
      <c r="C39" s="7">
        <v>3628</v>
      </c>
    </row>
    <row r="40" spans="1:3" x14ac:dyDescent="0.25">
      <c r="A40" s="6" t="s">
        <v>17</v>
      </c>
      <c r="B40" s="4"/>
      <c r="C40" s="7">
        <v>3626</v>
      </c>
    </row>
    <row r="41" spans="1:3" x14ac:dyDescent="0.25">
      <c r="A41" s="6" t="s">
        <v>17</v>
      </c>
      <c r="B41" s="4"/>
      <c r="C41" s="7">
        <v>3629</v>
      </c>
    </row>
    <row r="42" spans="1:3" x14ac:dyDescent="0.25">
      <c r="A42" s="6" t="s">
        <v>17</v>
      </c>
      <c r="B42" s="4"/>
      <c r="C42" s="7">
        <v>3627</v>
      </c>
    </row>
    <row r="43" spans="1:3" x14ac:dyDescent="0.25">
      <c r="A43" s="6" t="s">
        <v>17</v>
      </c>
      <c r="B43" s="3" t="s">
        <v>19</v>
      </c>
      <c r="C43" s="7">
        <v>3601</v>
      </c>
    </row>
    <row r="44" spans="1:3" x14ac:dyDescent="0.25">
      <c r="A44" s="6" t="s">
        <v>17</v>
      </c>
      <c r="B44" s="4"/>
      <c r="C44" s="7">
        <v>3603</v>
      </c>
    </row>
    <row r="45" spans="1:3" x14ac:dyDescent="0.25">
      <c r="A45" s="6" t="s">
        <v>17</v>
      </c>
      <c r="B45" s="4"/>
      <c r="C45" s="7">
        <v>3606</v>
      </c>
    </row>
    <row r="46" spans="1:3" x14ac:dyDescent="0.25">
      <c r="A46" s="6" t="s">
        <v>17</v>
      </c>
      <c r="B46" s="4"/>
      <c r="C46" s="7">
        <v>3602</v>
      </c>
    </row>
    <row r="47" spans="1:3" x14ac:dyDescent="0.25">
      <c r="A47" s="6" t="s">
        <v>17</v>
      </c>
      <c r="B47" s="4"/>
      <c r="C47" s="7">
        <v>3605</v>
      </c>
    </row>
    <row r="48" spans="1:3" x14ac:dyDescent="0.25">
      <c r="A48" s="6" t="s">
        <v>17</v>
      </c>
      <c r="B48" s="4"/>
      <c r="C48" s="7">
        <v>3604</v>
      </c>
    </row>
    <row r="49" spans="1:3" x14ac:dyDescent="0.25">
      <c r="A49" s="8" t="s">
        <v>20</v>
      </c>
      <c r="B49" s="3" t="s">
        <v>21</v>
      </c>
      <c r="C49" s="7">
        <v>3205</v>
      </c>
    </row>
    <row r="50" spans="1:3" x14ac:dyDescent="0.25">
      <c r="A50" s="8" t="s">
        <v>20</v>
      </c>
      <c r="B50" s="4"/>
      <c r="C50" s="7">
        <v>3651</v>
      </c>
    </row>
    <row r="51" spans="1:3" x14ac:dyDescent="0.25">
      <c r="A51" s="8" t="s">
        <v>20</v>
      </c>
      <c r="B51" s="4"/>
      <c r="C51" s="7">
        <v>3652</v>
      </c>
    </row>
    <row r="52" spans="1:3" x14ac:dyDescent="0.25">
      <c r="A52" s="8" t="s">
        <v>20</v>
      </c>
      <c r="B52" s="4"/>
      <c r="C52" s="7">
        <v>3653</v>
      </c>
    </row>
    <row r="53" spans="1:3" x14ac:dyDescent="0.25">
      <c r="A53" s="8" t="s">
        <v>20</v>
      </c>
      <c r="B53" s="4"/>
      <c r="C53" s="7">
        <v>3654</v>
      </c>
    </row>
    <row r="54" spans="1:3" x14ac:dyDescent="0.25">
      <c r="A54" s="8" t="s">
        <v>20</v>
      </c>
      <c r="B54" s="4"/>
      <c r="C54" s="7">
        <v>3655</v>
      </c>
    </row>
    <row r="55" spans="1:3" x14ac:dyDescent="0.25">
      <c r="A55" s="8" t="s">
        <v>20</v>
      </c>
      <c r="B55" s="4"/>
      <c r="C55" s="7">
        <v>3656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4BB9B-B5AD-4DA4-B78F-26F85AFDBAB4}">
  <sheetPr codeName="Sheet7"/>
  <dimension ref="A1:H83"/>
  <sheetViews>
    <sheetView workbookViewId="0">
      <selection activeCell="B20" sqref="B20"/>
    </sheetView>
  </sheetViews>
  <sheetFormatPr defaultRowHeight="13.8" x14ac:dyDescent="0.25"/>
  <cols>
    <col min="1" max="2" width="35.09765625" bestFit="1" customWidth="1"/>
    <col min="3" max="3" width="29.19921875" bestFit="1" customWidth="1"/>
    <col min="4" max="5" width="9.09765625" customWidth="1"/>
    <col min="6" max="6" width="12.59765625" bestFit="1" customWidth="1"/>
  </cols>
  <sheetData>
    <row r="1" spans="1:4" x14ac:dyDescent="0.25">
      <c r="A1" s="1" t="s">
        <v>0</v>
      </c>
      <c r="B1" s="1" t="s">
        <v>22</v>
      </c>
      <c r="C1" s="1" t="s">
        <v>23</v>
      </c>
      <c r="D1" s="1" t="s">
        <v>24</v>
      </c>
    </row>
    <row r="2" spans="1:4" x14ac:dyDescent="0.25">
      <c r="A2" t="str">
        <f>IF(Final!A2="","",Final!A2)</f>
        <v/>
      </c>
      <c r="B2" t="str">
        <f t="shared" ref="B2:B25" si="0">IF(OR(ISNUMBER(FIND("AS Asset (VSMS)",C2))),"AS Asset",IF(OR(ISNUMBER(FIND("AS Oil Control System",C2))),"AS OCS",IF(OR(ISNUMBER(FIND("AS Maintenance Cost",C2))),"AS MainCost",IF(OR(ISNUMBER(FIND("AS SMS / Order VS Invoice",C2))),"AS SMSOrderInvoice",IF(OR(ISNUMBER(FIND("AS Over Load (VSMS)",C2))),"AS OverLoad",IF(OR(ISNUMBER(FIND("AS Production Daily",C2))),"AS PRD_Daily",IF(OR(ISNUMBER(FIND("AS Production DPSL KPI",C2))),"AS PRD_KPI",IF(OR(ISNUMBER(FIND("AS Production NET",C2))),"AS PRD_NET-ALL",IF(OR(ISNUMBER(FIND("AS Profit &amp; Cost Center",C2))),"AS ProfitCost",IF(OR(ISNUMBER(SEARCH("Query",C2))),"AS EX-PR_GR",""))))))))))</f>
        <v/>
      </c>
      <c r="C2" t="str">
        <f>TEXT(Final!B2,"@")</f>
        <v/>
      </c>
      <c r="D2" t="str">
        <f>IF(ISNUMBER(SEARCH("Query", C2)), "", IF(C2="AS AOP", LEFT(TEXT(Final!C2,"@"),2), TEXT(Final!C2,"@")))</f>
        <v/>
      </c>
    </row>
    <row r="3" spans="1:4" x14ac:dyDescent="0.25">
      <c r="A3" t="str">
        <f>IF(Final!A3="","",Final!A3)</f>
        <v/>
      </c>
      <c r="B3" t="str">
        <f t="shared" si="0"/>
        <v/>
      </c>
      <c r="C3" t="str">
        <f>TEXT(Final!B3,"@")</f>
        <v/>
      </c>
      <c r="D3" t="str">
        <f>IF(ISNUMBER(SEARCH("Query", C3)), "", IF(C3="AS AOP", LEFT(TEXT(Final!C3,"@"),2), TEXT(Final!C3,"@")))</f>
        <v/>
      </c>
    </row>
    <row r="4" spans="1:4" x14ac:dyDescent="0.25">
      <c r="A4" t="str">
        <f>IF(Final!A4="","",Final!A4)</f>
        <v/>
      </c>
      <c r="B4" t="str">
        <f t="shared" si="0"/>
        <v/>
      </c>
      <c r="C4" t="str">
        <f>TEXT(Final!B4,"@")</f>
        <v/>
      </c>
      <c r="D4" t="str">
        <f>IF(ISNUMBER(SEARCH("Query", C4)), "", IF(C4="AS AOP", LEFT(TEXT(Final!C4,"@"),2), TEXT(Final!C4,"@")))</f>
        <v/>
      </c>
    </row>
    <row r="5" spans="1:4" x14ac:dyDescent="0.25">
      <c r="A5" t="str">
        <f>IF(Final!A5="","",Final!A5)</f>
        <v/>
      </c>
      <c r="B5" t="str">
        <f t="shared" si="0"/>
        <v/>
      </c>
      <c r="C5" t="str">
        <f>TEXT(Final!B5,"@")</f>
        <v/>
      </c>
      <c r="D5" t="str">
        <f>IF(ISNUMBER(SEARCH("Query", C5)), "", IF(C5="AS AOP", LEFT(TEXT(Final!C5,"@"),2), TEXT(Final!C5,"@")))</f>
        <v/>
      </c>
    </row>
    <row r="6" spans="1:4" x14ac:dyDescent="0.25">
      <c r="A6" t="str">
        <f>IF(Final!A6="","",Final!A6)</f>
        <v/>
      </c>
      <c r="B6" t="str">
        <f t="shared" si="0"/>
        <v/>
      </c>
      <c r="C6" t="str">
        <f>TEXT(Final!B6,"@")</f>
        <v/>
      </c>
      <c r="D6" t="str">
        <f>IF(ISNUMBER(SEARCH("Query", C6)), "", IF(C6="AS AOP", LEFT(TEXT(Final!C6,"@"),2), TEXT(Final!C6,"@")))</f>
        <v/>
      </c>
    </row>
    <row r="7" spans="1:4" x14ac:dyDescent="0.25">
      <c r="A7" t="str">
        <f>IF(Final!A7="","",Final!A7)</f>
        <v/>
      </c>
      <c r="B7" t="str">
        <f t="shared" si="0"/>
        <v/>
      </c>
      <c r="C7" t="str">
        <f>TEXT(Final!B7,"@")</f>
        <v/>
      </c>
      <c r="D7" t="str">
        <f>IF(ISNUMBER(SEARCH("Query", C7)), "", IF(C7="AS AOP", LEFT(TEXT(Final!C7,"@"),2), TEXT(Final!C7,"@")))</f>
        <v/>
      </c>
    </row>
    <row r="8" spans="1:4" x14ac:dyDescent="0.25">
      <c r="A8" t="str">
        <f>IF(Final!A8="","",Final!A8)</f>
        <v/>
      </c>
      <c r="B8" t="str">
        <f t="shared" si="0"/>
        <v/>
      </c>
      <c r="C8" t="str">
        <f>TEXT(Final!B8,"@")</f>
        <v/>
      </c>
      <c r="D8" t="str">
        <f>IF(ISNUMBER(SEARCH("Query", C8)), "", IF(C8="AS AOP", LEFT(TEXT(Final!C8,"@"),2), TEXT(Final!C8,"@")))</f>
        <v/>
      </c>
    </row>
    <row r="9" spans="1:4" x14ac:dyDescent="0.25">
      <c r="A9" t="str">
        <f>IF(Final!A9="","",Final!A9)</f>
        <v/>
      </c>
      <c r="B9" t="str">
        <f t="shared" si="0"/>
        <v/>
      </c>
      <c r="C9" t="str">
        <f>TEXT(Final!B9,"@")</f>
        <v/>
      </c>
      <c r="D9" t="str">
        <f>IF(ISNUMBER(SEARCH("Query", C9)), "", IF(C9="AS AOP", LEFT(TEXT(Final!C9,"@"),2), TEXT(Final!C9,"@")))</f>
        <v/>
      </c>
    </row>
    <row r="10" spans="1:4" x14ac:dyDescent="0.25">
      <c r="A10" t="str">
        <f>IF(Final!A10="","",Final!A10)</f>
        <v/>
      </c>
      <c r="B10" t="str">
        <f t="shared" si="0"/>
        <v/>
      </c>
      <c r="C10" t="str">
        <f>TEXT(Final!B10,"@")</f>
        <v/>
      </c>
      <c r="D10" t="str">
        <f>IF(ISNUMBER(SEARCH("Query", C10)), "", IF(C10="AS AOP", LEFT(TEXT(Final!C10,"@"),2), TEXT(Final!C10,"@")))</f>
        <v/>
      </c>
    </row>
    <row r="11" spans="1:4" x14ac:dyDescent="0.25">
      <c r="A11" t="str">
        <f>IF(Final!A11="","",Final!A11)</f>
        <v/>
      </c>
      <c r="B11" t="str">
        <f t="shared" si="0"/>
        <v/>
      </c>
      <c r="C11" t="str">
        <f>TEXT(Final!B11,"@")</f>
        <v/>
      </c>
      <c r="D11" t="str">
        <f>IF(ISNUMBER(SEARCH("Query", C11)), "", IF(C11="AS AOP", LEFT(TEXT(Final!C11,"@"),2), TEXT(Final!C11,"@")))</f>
        <v/>
      </c>
    </row>
    <row r="12" spans="1:4" x14ac:dyDescent="0.25">
      <c r="A12" t="str">
        <f>IF(Final!A12="","",Final!A12)</f>
        <v/>
      </c>
      <c r="B12" t="str">
        <f t="shared" si="0"/>
        <v/>
      </c>
      <c r="C12" t="str">
        <f>TEXT(Final!B12,"@")</f>
        <v/>
      </c>
      <c r="D12" t="str">
        <f>IF(ISNUMBER(SEARCH("Query", C12)), "", IF(C12="AS AOP", LEFT(TEXT(Final!C12,"@"),2), TEXT(Final!C12,"@")))</f>
        <v/>
      </c>
    </row>
    <row r="13" spans="1:4" x14ac:dyDescent="0.25">
      <c r="A13" t="str">
        <f>IF(Final!A13="","",Final!A13)</f>
        <v/>
      </c>
      <c r="B13" t="str">
        <f t="shared" si="0"/>
        <v/>
      </c>
      <c r="C13" t="str">
        <f>TEXT(Final!B13,"@")</f>
        <v/>
      </c>
      <c r="D13" t="str">
        <f>IF(ISNUMBER(SEARCH("Query", C13)), "", IF(C13="AS AOP", LEFT(TEXT(Final!C13,"@"),2), TEXT(Final!C13,"@")))</f>
        <v/>
      </c>
    </row>
    <row r="14" spans="1:4" x14ac:dyDescent="0.25">
      <c r="A14" t="str">
        <f>IF(Final!A14="","",Final!A14)</f>
        <v/>
      </c>
      <c r="B14" t="str">
        <f t="shared" si="0"/>
        <v/>
      </c>
      <c r="C14" t="str">
        <f>TEXT(Final!B14,"@")</f>
        <v/>
      </c>
      <c r="D14" t="str">
        <f>IF(ISNUMBER(SEARCH("Query", C14)), "", IF(C14="AS AOP", LEFT(TEXT(Final!C14,"@"),2), TEXT(Final!C14,"@")))</f>
        <v/>
      </c>
    </row>
    <row r="15" spans="1:4" x14ac:dyDescent="0.25">
      <c r="A15" t="str">
        <f>IF(Final!A15="","",Final!A15)</f>
        <v/>
      </c>
      <c r="B15" t="str">
        <f t="shared" si="0"/>
        <v/>
      </c>
      <c r="C15" t="str">
        <f>TEXT(Final!B15,"@")</f>
        <v/>
      </c>
      <c r="D15" t="str">
        <f>IF(ISNUMBER(SEARCH("Query", C15)), "", IF(C15="AS AOP", LEFT(TEXT(Final!C15,"@"),2), TEXT(Final!C15,"@")))</f>
        <v/>
      </c>
    </row>
    <row r="16" spans="1:4" x14ac:dyDescent="0.25">
      <c r="A16" t="str">
        <f>IF(Final!A16="","",Final!A16)</f>
        <v/>
      </c>
      <c r="B16" t="str">
        <f t="shared" si="0"/>
        <v/>
      </c>
      <c r="C16" t="str">
        <f>TEXT(Final!B16,"@")</f>
        <v/>
      </c>
      <c r="D16" t="str">
        <f>IF(ISNUMBER(SEARCH("Query", C16)), "", IF(C16="AS AOP", LEFT(TEXT(Final!C16,"@"),2), TEXT(Final!C16,"@")))</f>
        <v/>
      </c>
    </row>
    <row r="17" spans="1:8" x14ac:dyDescent="0.25">
      <c r="A17" t="str">
        <f>IF(Final!A17="","",Final!A17)</f>
        <v/>
      </c>
      <c r="B17" t="str">
        <f t="shared" si="0"/>
        <v/>
      </c>
      <c r="C17" t="str">
        <f>TEXT(Final!B17,"@")</f>
        <v/>
      </c>
      <c r="D17" t="str">
        <f>IF(ISNUMBER(SEARCH("Query", C17)), "", IF(C17="AS AOP", LEFT(TEXT(Final!C17,"@"),2), TEXT(Final!C17,"@")))</f>
        <v/>
      </c>
    </row>
    <row r="18" spans="1:8" x14ac:dyDescent="0.25">
      <c r="A18" t="str">
        <f>IF(Final!A18="","",Final!A18)</f>
        <v/>
      </c>
      <c r="B18" t="str">
        <f t="shared" si="0"/>
        <v/>
      </c>
      <c r="C18" t="str">
        <f>TEXT(Final!B18,"@")</f>
        <v/>
      </c>
      <c r="D18" t="str">
        <f>IF(ISNUMBER(SEARCH("Query", C18)), "", IF(C18="AS AOP", LEFT(TEXT(Final!C18,"@"),2), TEXT(Final!C18,"@")))</f>
        <v/>
      </c>
      <c r="H18" s="11"/>
    </row>
    <row r="19" spans="1:8" x14ac:dyDescent="0.25">
      <c r="A19" t="str">
        <f>IF(Final!A19="","",Final!A19)</f>
        <v/>
      </c>
      <c r="B19" t="str">
        <f t="shared" si="0"/>
        <v/>
      </c>
      <c r="C19" t="str">
        <f>TEXT(Final!B19,"@")</f>
        <v/>
      </c>
      <c r="D19" t="str">
        <f>IF(ISNUMBER(SEARCH("Query", C19)), "", IF(C19="AS AOP", LEFT(TEXT(Final!C19,"@"),2), TEXT(Final!C19,"@")))</f>
        <v/>
      </c>
    </row>
    <row r="20" spans="1:8" x14ac:dyDescent="0.25">
      <c r="A20" t="str">
        <f>IF(Final!A20="","",Final!A20)</f>
        <v/>
      </c>
      <c r="B20" t="str">
        <f t="shared" si="0"/>
        <v/>
      </c>
      <c r="C20" t="str">
        <f>TEXT(Final!B20,"@")</f>
        <v/>
      </c>
      <c r="D20" t="str">
        <f>IF(ISNUMBER(SEARCH("Query", C20)), "", IF(C20="AS AOP", LEFT(TEXT(Final!C20,"@"),2), TEXT(Final!C20,"@")))</f>
        <v/>
      </c>
    </row>
    <row r="21" spans="1:8" x14ac:dyDescent="0.25">
      <c r="A21" t="str">
        <f>IF(Final!A21="","",Final!A21)</f>
        <v/>
      </c>
      <c r="B21" t="str">
        <f t="shared" si="0"/>
        <v/>
      </c>
      <c r="C21" t="str">
        <f>TEXT(Final!B21,"@")</f>
        <v/>
      </c>
      <c r="D21" t="str">
        <f>IF(ISNUMBER(SEARCH("Query", C21)), "", IF(C21="AS AOP", LEFT(TEXT(Final!C21,"@"),2), TEXT(Final!C21,"@")))</f>
        <v/>
      </c>
    </row>
    <row r="22" spans="1:8" x14ac:dyDescent="0.25">
      <c r="A22" t="str">
        <f>IF(Final!A22="","",Final!A22)</f>
        <v/>
      </c>
      <c r="B22" t="str">
        <f t="shared" si="0"/>
        <v/>
      </c>
      <c r="C22" t="str">
        <f>TEXT(Final!B22,"@")</f>
        <v/>
      </c>
      <c r="D22" t="str">
        <f>IF(ISNUMBER(SEARCH("Query", C22)), "", IF(C22="AS AOP", LEFT(TEXT(Final!C22,"@"),2), TEXT(Final!C22,"@")))</f>
        <v/>
      </c>
    </row>
    <row r="23" spans="1:8" x14ac:dyDescent="0.25">
      <c r="A23" t="str">
        <f>IF(Final!A23="","",Final!A23)</f>
        <v/>
      </c>
      <c r="B23" t="str">
        <f t="shared" si="0"/>
        <v/>
      </c>
      <c r="C23" t="str">
        <f>TEXT(Final!B23,"@")</f>
        <v/>
      </c>
      <c r="D23" t="str">
        <f>IF(ISNUMBER(SEARCH("Query", C23)), "", IF(C23="AS AOP", LEFT(TEXT(Final!C23,"@"),2), TEXT(Final!C23,"@")))</f>
        <v/>
      </c>
    </row>
    <row r="24" spans="1:8" x14ac:dyDescent="0.25">
      <c r="A24" t="str">
        <f>IF(Final!A24="","",Final!A24)</f>
        <v/>
      </c>
      <c r="B24" t="str">
        <f t="shared" si="0"/>
        <v/>
      </c>
      <c r="C24" t="str">
        <f>TEXT(Final!B24,"@")</f>
        <v/>
      </c>
      <c r="D24" t="str">
        <f>IF(ISNUMBER(SEARCH("Query", C24)), "", IF(C24="AS AOP", LEFT(TEXT(Final!C24,"@"),2), TEXT(Final!C24,"@")))</f>
        <v/>
      </c>
    </row>
    <row r="25" spans="1:8" x14ac:dyDescent="0.25">
      <c r="A25" t="str">
        <f>IF(Final!A25="","",Final!A25)</f>
        <v/>
      </c>
      <c r="B25" t="str">
        <f t="shared" si="0"/>
        <v/>
      </c>
      <c r="C25" t="str">
        <f>TEXT(Final!B25,"@")</f>
        <v/>
      </c>
      <c r="D25" t="str">
        <f>IF(ISNUMBER(SEARCH("Query", C25)), "", IF(C25="AS AOP", LEFT(TEXT(Final!C25,"@"),2), TEXT(Final!C25,"@")))</f>
        <v/>
      </c>
    </row>
    <row r="26" spans="1:8" x14ac:dyDescent="0.25">
      <c r="A26" t="str">
        <f>IF(Final!A26="","",Final!A26)</f>
        <v/>
      </c>
      <c r="B26" t="str">
        <f>IF(OR(ISNUMBER(FIND("AS Asset (VSMS)",C26))),"AS Asset",IF(OR(ISNUMBER(FIND("AS Oil Control System",C26))),"AS OCS",IF(OR(ISNUMBER(FIND("AS Maintenance Cost",C26))),"AS MainCost",IF(OR(ISNUMBER(FIND("AS SMS / Order VS Invoice",C26))),"AS SMSOrderInvoice",IF(OR(ISNUMBER(FIND("AS Over Load (VSMS)",C26))),"AS OverLoad",IF(OR(ISNUMBER(FIND("AS Production Daily",C26))),"AS PRD_Daily",IF(OR(ISNUMBER(FIND("AS Production DPSL KPI",C26))),"AS PRD_KPI",IF(OR(ISNUMBER(FIND("AS Production NET",C26))),"AS PRD_NET-ALL",IF(OR(ISNUMBER(FIND("AS Profit &amp; Cost Center",C26))),"AS ProfitCost",IF(OR(ISNUMBER(SEARCH("Query",C26))),"AS EX-PR_GR",""))))))))))</f>
        <v/>
      </c>
      <c r="C26" t="str">
        <f>TEXT(Final!B26,"@")</f>
        <v/>
      </c>
      <c r="D26" t="str">
        <f>IF(ISNUMBER(SEARCH("Query", C26)), "", IF(C26="AS AOP", LEFT(TEXT(Final!C26,"@"),2), TEXT(Final!C26,"@")))</f>
        <v/>
      </c>
    </row>
    <row r="27" spans="1:8" x14ac:dyDescent="0.25">
      <c r="A27" t="str">
        <f>IF(Final!A27="","",Final!A27)</f>
        <v/>
      </c>
      <c r="B27" t="str">
        <f t="shared" ref="B27:B83" si="1">IF(OR(ISNUMBER(FIND("AS Asset (VSMS)",C27))),"AS Asset",IF(OR(ISNUMBER(FIND("AS Oil Control System",C27))),"AS OCS",IF(OR(ISNUMBER(FIND("AS Maintenance Cost",C27))),"AS MainCost",IF(OR(ISNUMBER(FIND("AS SMS / Order VS Invoice",C27))),"AS SMSOrderInvoice",IF(OR(ISNUMBER(FIND("AS Over Load (VSMS)",C27))),"AS OverLoad",IF(OR(ISNUMBER(FIND("AS Production Daily",C27))),"AS PRD_Daily",IF(OR(ISNUMBER(FIND("AS Production DPSL KPI",C27))),"AS PRD_KPI",IF(OR(ISNUMBER(FIND("AS Production NET",C27))),"AS PRD_NET-ALL",IF(OR(ISNUMBER(FIND("AS Profit &amp; Cost Center",C27))),"AS ProfitCost",IF(OR(ISNUMBER(SEARCH("Query",C27))),"AS EX-PR_GR",""))))))))))</f>
        <v/>
      </c>
      <c r="C27" t="str">
        <f>TEXT(Final!B27,"@")</f>
        <v/>
      </c>
      <c r="D27" t="str">
        <f>IF(ISNUMBER(SEARCH("Query", C27)), "", IF(C27="AS AOP", LEFT(TEXT(Final!C27,"@"),2), TEXT(Final!C27,"@")))</f>
        <v/>
      </c>
    </row>
    <row r="28" spans="1:8" x14ac:dyDescent="0.25">
      <c r="A28" t="str">
        <f>IF(Final!A28="","",Final!A28)</f>
        <v/>
      </c>
      <c r="B28" t="str">
        <f t="shared" si="1"/>
        <v/>
      </c>
      <c r="C28" t="str">
        <f>TEXT(Final!B28,"@")</f>
        <v/>
      </c>
      <c r="D28" t="str">
        <f>IF(ISNUMBER(SEARCH("Query", C28)), "", IF(C28="AS AOP", LEFT(TEXT(Final!C28,"@"),2), TEXT(Final!C28,"@")))</f>
        <v/>
      </c>
    </row>
    <row r="29" spans="1:8" x14ac:dyDescent="0.25">
      <c r="A29" t="str">
        <f>IF(Final!A29="","",Final!A29)</f>
        <v/>
      </c>
      <c r="B29" t="str">
        <f t="shared" si="1"/>
        <v/>
      </c>
      <c r="C29" t="str">
        <f>TEXT(Final!B29,"@")</f>
        <v/>
      </c>
      <c r="D29" t="str">
        <f>IF(ISNUMBER(SEARCH("Query", C29)), "", IF(C29="AS AOP", LEFT(TEXT(Final!C29,"@"),2), TEXT(Final!C29,"@")))</f>
        <v/>
      </c>
    </row>
    <row r="30" spans="1:8" x14ac:dyDescent="0.25">
      <c r="A30" t="str">
        <f>IF(Final!A30="","",Final!A30)</f>
        <v/>
      </c>
      <c r="B30" t="str">
        <f t="shared" si="1"/>
        <v/>
      </c>
      <c r="C30" t="str">
        <f>TEXT(Final!B30,"@")</f>
        <v/>
      </c>
      <c r="D30" t="str">
        <f>IF(ISNUMBER(SEARCH("Query", C30)), "", IF(C30="AS AOP", LEFT(TEXT(Final!C30,"@"),2), TEXT(Final!C30,"@")))</f>
        <v/>
      </c>
    </row>
    <row r="31" spans="1:8" x14ac:dyDescent="0.25">
      <c r="A31" t="str">
        <f>IF(Final!A31="","",Final!A31)</f>
        <v/>
      </c>
      <c r="B31" t="str">
        <f t="shared" si="1"/>
        <v/>
      </c>
      <c r="C31" t="str">
        <f>TEXT(Final!B31,"@")</f>
        <v/>
      </c>
      <c r="D31" t="str">
        <f>IF(ISNUMBER(SEARCH("Query", C31)), "", IF(C31="AS AOP", LEFT(TEXT(Final!C31,"@"),2), TEXT(Final!C31,"@")))</f>
        <v/>
      </c>
    </row>
    <row r="32" spans="1:8" x14ac:dyDescent="0.25">
      <c r="A32" t="str">
        <f>IF(Final!A32="","",Final!A32)</f>
        <v/>
      </c>
      <c r="B32" t="str">
        <f t="shared" si="1"/>
        <v/>
      </c>
      <c r="C32" t="str">
        <f>TEXT(Final!B32,"@")</f>
        <v/>
      </c>
      <c r="D32" t="str">
        <f>IF(ISNUMBER(SEARCH("Query", C32)), "", IF(C32="AS AOP", LEFT(TEXT(Final!C32,"@"),2), TEXT(Final!C32,"@")))</f>
        <v/>
      </c>
    </row>
    <row r="33" spans="1:4" x14ac:dyDescent="0.25">
      <c r="A33" t="str">
        <f>IF(Final!A33="","",Final!A33)</f>
        <v/>
      </c>
      <c r="B33" t="str">
        <f t="shared" si="1"/>
        <v/>
      </c>
      <c r="C33" t="str">
        <f>TEXT(Final!B33,"@")</f>
        <v/>
      </c>
      <c r="D33" t="str">
        <f>IF(ISNUMBER(SEARCH("Query", C33)), "", IF(C33="AS AOP", LEFT(TEXT(Final!C33,"@"),2), TEXT(Final!C33,"@")))</f>
        <v/>
      </c>
    </row>
    <row r="34" spans="1:4" x14ac:dyDescent="0.25">
      <c r="A34" t="str">
        <f>IF(Final!A34="","",Final!A34)</f>
        <v/>
      </c>
      <c r="B34" t="str">
        <f t="shared" si="1"/>
        <v/>
      </c>
      <c r="C34" t="str">
        <f>TEXT(Final!B34,"@")</f>
        <v/>
      </c>
      <c r="D34" t="str">
        <f>IF(ISNUMBER(SEARCH("Query", C34)), "", IF(C34="AS AOP", LEFT(TEXT(Final!C34,"@"),2), TEXT(Final!C34,"@")))</f>
        <v/>
      </c>
    </row>
    <row r="35" spans="1:4" x14ac:dyDescent="0.25">
      <c r="A35" t="str">
        <f>IF(Final!A35="","",Final!A35)</f>
        <v/>
      </c>
      <c r="B35" t="str">
        <f t="shared" si="1"/>
        <v/>
      </c>
      <c r="C35" t="str">
        <f>TEXT(Final!B35,"@")</f>
        <v/>
      </c>
      <c r="D35" t="str">
        <f>IF(ISNUMBER(SEARCH("Query", C35)), "", IF(C35="AS AOP", LEFT(TEXT(Final!C35,"@"),2), TEXT(Final!C35,"@")))</f>
        <v/>
      </c>
    </row>
    <row r="36" spans="1:4" x14ac:dyDescent="0.25">
      <c r="A36" t="str">
        <f>IF(Final!A36="","",Final!A36)</f>
        <v/>
      </c>
      <c r="B36" t="str">
        <f t="shared" si="1"/>
        <v/>
      </c>
      <c r="C36" t="str">
        <f>TEXT(Final!B36,"@")</f>
        <v/>
      </c>
      <c r="D36" t="str">
        <f>IF(ISNUMBER(SEARCH("Query", C36)), "", IF(C36="AS AOP", LEFT(TEXT(Final!C36,"@"),2), TEXT(Final!C36,"@")))</f>
        <v/>
      </c>
    </row>
    <row r="37" spans="1:4" x14ac:dyDescent="0.25">
      <c r="A37" t="str">
        <f>IF(Final!A37="","",Final!A37)</f>
        <v/>
      </c>
      <c r="B37" t="str">
        <f t="shared" si="1"/>
        <v/>
      </c>
      <c r="C37" t="str">
        <f>TEXT(Final!B37,"@")</f>
        <v/>
      </c>
      <c r="D37" t="str">
        <f>IF(ISNUMBER(SEARCH("Query", C37)), "", IF(C37="AS AOP", LEFT(TEXT(Final!C37,"@"),2), TEXT(Final!C37,"@")))</f>
        <v/>
      </c>
    </row>
    <row r="38" spans="1:4" x14ac:dyDescent="0.25">
      <c r="A38" t="str">
        <f>IF(Final!A38="","",Final!A38)</f>
        <v/>
      </c>
      <c r="B38" t="str">
        <f t="shared" si="1"/>
        <v/>
      </c>
      <c r="C38" t="str">
        <f>TEXT(Final!B38,"@")</f>
        <v/>
      </c>
      <c r="D38" t="str">
        <f>IF(ISNUMBER(SEARCH("Query", C38)), "", IF(C38="AS AOP", LEFT(TEXT(Final!C38,"@"),2), TEXT(Final!C38,"@")))</f>
        <v/>
      </c>
    </row>
    <row r="39" spans="1:4" x14ac:dyDescent="0.25">
      <c r="A39" t="str">
        <f>IF(Final!A39="","",Final!A39)</f>
        <v/>
      </c>
      <c r="B39" t="str">
        <f t="shared" si="1"/>
        <v/>
      </c>
      <c r="C39" t="str">
        <f>TEXT(Final!B39,"@")</f>
        <v/>
      </c>
      <c r="D39" t="str">
        <f>IF(ISNUMBER(SEARCH("Query", C39)), "", IF(C39="AS AOP", LEFT(TEXT(Final!C39,"@"),2), TEXT(Final!C39,"@")))</f>
        <v/>
      </c>
    </row>
    <row r="40" spans="1:4" x14ac:dyDescent="0.25">
      <c r="A40" t="str">
        <f>IF(Final!A40="","",Final!A40)</f>
        <v/>
      </c>
      <c r="B40" t="str">
        <f t="shared" si="1"/>
        <v/>
      </c>
      <c r="C40" t="str">
        <f>TEXT(Final!B40,"@")</f>
        <v/>
      </c>
      <c r="D40" t="str">
        <f>IF(ISNUMBER(SEARCH("Query", C40)), "", IF(C40="AS AOP", LEFT(TEXT(Final!C40,"@"),2), TEXT(Final!C40,"@")))</f>
        <v/>
      </c>
    </row>
    <row r="41" spans="1:4" x14ac:dyDescent="0.25">
      <c r="A41" t="str">
        <f>IF(Final!A41="","",Final!A41)</f>
        <v/>
      </c>
      <c r="B41" t="str">
        <f t="shared" si="1"/>
        <v/>
      </c>
      <c r="C41" t="str">
        <f>TEXT(Final!B41,"@")</f>
        <v/>
      </c>
      <c r="D41" t="str">
        <f>IF(ISNUMBER(SEARCH("Query", C41)), "", IF(C41="AS AOP", LEFT(TEXT(Final!C41,"@"),2), TEXT(Final!C41,"@")))</f>
        <v/>
      </c>
    </row>
    <row r="42" spans="1:4" x14ac:dyDescent="0.25">
      <c r="A42" t="str">
        <f>IF(Final!A42="","",Final!A42)</f>
        <v/>
      </c>
      <c r="B42" t="str">
        <f t="shared" si="1"/>
        <v/>
      </c>
      <c r="C42" t="str">
        <f>TEXT(Final!B42,"@")</f>
        <v/>
      </c>
      <c r="D42" t="str">
        <f>IF(ISNUMBER(SEARCH("Query", C42)), "", IF(C42="AS AOP", LEFT(TEXT(Final!C42,"@"),2), TEXT(Final!C42,"@")))</f>
        <v/>
      </c>
    </row>
    <row r="43" spans="1:4" x14ac:dyDescent="0.25">
      <c r="A43" t="str">
        <f>IF(Final!A43="","",Final!A43)</f>
        <v/>
      </c>
      <c r="B43" t="str">
        <f t="shared" si="1"/>
        <v/>
      </c>
      <c r="C43" t="str">
        <f>TEXT(Final!B43,"@")</f>
        <v/>
      </c>
      <c r="D43" t="str">
        <f>IF(ISNUMBER(SEARCH("Query", C43)), "", IF(C43="AS AOP", LEFT(TEXT(Final!C43,"@"),2), TEXT(Final!C43,"@")))</f>
        <v/>
      </c>
    </row>
    <row r="44" spans="1:4" x14ac:dyDescent="0.25">
      <c r="A44" t="str">
        <f>IF(Final!A44="","",Final!A44)</f>
        <v/>
      </c>
      <c r="B44" t="str">
        <f t="shared" si="1"/>
        <v/>
      </c>
      <c r="C44" t="str">
        <f>TEXT(Final!B44,"@")</f>
        <v/>
      </c>
      <c r="D44" t="str">
        <f>IF(ISNUMBER(SEARCH("Query", C44)), "", IF(C44="AS AOP", LEFT(TEXT(Final!C44,"@"),2), TEXT(Final!C44,"@")))</f>
        <v/>
      </c>
    </row>
    <row r="45" spans="1:4" x14ac:dyDescent="0.25">
      <c r="A45" t="str">
        <f>IF(Final!A45="","",Final!A45)</f>
        <v/>
      </c>
      <c r="B45" t="str">
        <f t="shared" si="1"/>
        <v/>
      </c>
      <c r="C45" t="str">
        <f>TEXT(Final!B45,"@")</f>
        <v/>
      </c>
      <c r="D45" t="str">
        <f>IF(ISNUMBER(SEARCH("Query", C45)), "", IF(C45="AS AOP", LEFT(TEXT(Final!C45,"@"),2), TEXT(Final!C45,"@")))</f>
        <v/>
      </c>
    </row>
    <row r="46" spans="1:4" x14ac:dyDescent="0.25">
      <c r="A46" t="str">
        <f>IF(Final!A46="","",Final!A46)</f>
        <v/>
      </c>
      <c r="B46" t="str">
        <f t="shared" si="1"/>
        <v/>
      </c>
      <c r="C46" t="str">
        <f>TEXT(Final!B46,"@")</f>
        <v/>
      </c>
      <c r="D46" t="str">
        <f>IF(ISNUMBER(SEARCH("Query", C46)), "", IF(C46="AS AOP", LEFT(TEXT(Final!C46,"@"),2), TEXT(Final!C46,"@")))</f>
        <v/>
      </c>
    </row>
    <row r="47" spans="1:4" x14ac:dyDescent="0.25">
      <c r="A47" t="str">
        <f>IF(Final!A47="","",Final!A47)</f>
        <v/>
      </c>
      <c r="B47" t="str">
        <f t="shared" si="1"/>
        <v/>
      </c>
      <c r="C47" t="str">
        <f>TEXT(Final!B47,"@")</f>
        <v/>
      </c>
      <c r="D47" t="str">
        <f>IF(ISNUMBER(SEARCH("Query", C47)), "", IF(C47="AS AOP", LEFT(TEXT(Final!C47,"@"),2), TEXT(Final!C47,"@")))</f>
        <v/>
      </c>
    </row>
    <row r="48" spans="1:4" x14ac:dyDescent="0.25">
      <c r="A48" t="str">
        <f>IF(Final!A48="","",Final!A48)</f>
        <v/>
      </c>
      <c r="B48" t="str">
        <f t="shared" si="1"/>
        <v/>
      </c>
      <c r="C48" t="str">
        <f>TEXT(Final!B48,"@")</f>
        <v/>
      </c>
      <c r="D48" t="str">
        <f>IF(ISNUMBER(SEARCH("Query", C48)), "", IF(C48="AS AOP", LEFT(TEXT(Final!C48,"@"),2), TEXT(Final!C48,"@")))</f>
        <v/>
      </c>
    </row>
    <row r="49" spans="1:4" x14ac:dyDescent="0.25">
      <c r="A49" t="str">
        <f>IF(Final!A49="","",Final!A49)</f>
        <v/>
      </c>
      <c r="B49" t="str">
        <f t="shared" si="1"/>
        <v/>
      </c>
      <c r="C49" t="str">
        <f>TEXT(Final!B49,"@")</f>
        <v/>
      </c>
      <c r="D49" t="str">
        <f>IF(ISNUMBER(SEARCH("Query", C49)), "", IF(C49="AS AOP", LEFT(TEXT(Final!C49,"@"),2), TEXT(Final!C49,"@")))</f>
        <v/>
      </c>
    </row>
    <row r="50" spans="1:4" x14ac:dyDescent="0.25">
      <c r="A50" t="str">
        <f>IF(Final!A50="","",Final!A50)</f>
        <v/>
      </c>
      <c r="B50" t="str">
        <f t="shared" si="1"/>
        <v/>
      </c>
      <c r="C50" t="str">
        <f>TEXT(Final!B50,"@")</f>
        <v/>
      </c>
      <c r="D50" t="str">
        <f>IF(ISNUMBER(SEARCH("Query", C50)), "", IF(C50="AS AOP", LEFT(TEXT(Final!C50,"@"),2), TEXT(Final!C50,"@")))</f>
        <v/>
      </c>
    </row>
    <row r="51" spans="1:4" x14ac:dyDescent="0.25">
      <c r="A51" t="str">
        <f>IF(Final!A51="","",Final!A51)</f>
        <v/>
      </c>
      <c r="B51" t="str">
        <f t="shared" si="1"/>
        <v/>
      </c>
      <c r="C51" t="str">
        <f>TEXT(Final!B51,"@")</f>
        <v/>
      </c>
      <c r="D51" t="str">
        <f>IF(ISNUMBER(SEARCH("Query", C51)), "", IF(C51="AS AOP", LEFT(TEXT(Final!C51,"@"),2), TEXT(Final!C51,"@")))</f>
        <v/>
      </c>
    </row>
    <row r="52" spans="1:4" x14ac:dyDescent="0.25">
      <c r="A52" t="str">
        <f>IF(Final!A52="","",Final!A52)</f>
        <v/>
      </c>
      <c r="B52" t="str">
        <f t="shared" si="1"/>
        <v/>
      </c>
      <c r="C52" t="str">
        <f>TEXT(Final!B52,"@")</f>
        <v/>
      </c>
      <c r="D52" t="str">
        <f>IF(ISNUMBER(SEARCH("Query", C52)), "", IF(C52="AS AOP", LEFT(TEXT(Final!C52,"@"),2), TEXT(Final!C52,"@")))</f>
        <v/>
      </c>
    </row>
    <row r="53" spans="1:4" x14ac:dyDescent="0.25">
      <c r="A53" t="str">
        <f>IF(Final!A53="","",Final!A53)</f>
        <v/>
      </c>
      <c r="B53" t="str">
        <f t="shared" si="1"/>
        <v/>
      </c>
      <c r="C53" t="str">
        <f>TEXT(Final!B53,"@")</f>
        <v/>
      </c>
      <c r="D53" t="str">
        <f>IF(ISNUMBER(SEARCH("Query", C53)), "", IF(C53="AS AOP", LEFT(TEXT(Final!C53,"@"),2), TEXT(Final!C53,"@")))</f>
        <v/>
      </c>
    </row>
    <row r="54" spans="1:4" x14ac:dyDescent="0.25">
      <c r="A54" t="str">
        <f>IF(Final!A54="","",Final!A54)</f>
        <v/>
      </c>
      <c r="B54" t="str">
        <f t="shared" si="1"/>
        <v/>
      </c>
      <c r="C54" t="str">
        <f>TEXT(Final!B54,"@")</f>
        <v/>
      </c>
      <c r="D54" t="str">
        <f>IF(ISNUMBER(SEARCH("Query", C54)), "", IF(C54="AS AOP", LEFT(TEXT(Final!C54,"@"),2), TEXT(Final!C54,"@")))</f>
        <v/>
      </c>
    </row>
    <row r="55" spans="1:4" x14ac:dyDescent="0.25">
      <c r="A55" t="str">
        <f>IF(Final!A55="","",Final!A55)</f>
        <v/>
      </c>
      <c r="B55" t="str">
        <f t="shared" si="1"/>
        <v/>
      </c>
      <c r="C55" t="str">
        <f>TEXT(Final!B55,"@")</f>
        <v/>
      </c>
      <c r="D55" t="str">
        <f>IF(ISNUMBER(SEARCH("Query", C55)), "", IF(C55="AS AOP", LEFT(TEXT(Final!C55,"@"),2), TEXT(Final!C55,"@")))</f>
        <v/>
      </c>
    </row>
    <row r="56" spans="1:4" x14ac:dyDescent="0.25">
      <c r="A56" t="str">
        <f>IF(Final!A56="","",Final!A56)</f>
        <v/>
      </c>
      <c r="B56" t="str">
        <f t="shared" si="1"/>
        <v/>
      </c>
      <c r="C56" t="str">
        <f>TEXT(Final!B56,"@")</f>
        <v/>
      </c>
      <c r="D56" t="str">
        <f>IF(ISNUMBER(SEARCH("Query", C56)), "", IF(C56="AS AOP", LEFT(TEXT(Final!C56,"@"),2), TEXT(Final!C56,"@")))</f>
        <v/>
      </c>
    </row>
    <row r="57" spans="1:4" x14ac:dyDescent="0.25">
      <c r="A57" t="str">
        <f>IF(Final!A57="","",Final!A57)</f>
        <v/>
      </c>
      <c r="B57" t="str">
        <f t="shared" si="1"/>
        <v/>
      </c>
      <c r="C57" t="str">
        <f>TEXT(Final!B57,"@")</f>
        <v/>
      </c>
      <c r="D57" t="str">
        <f>IF(ISNUMBER(SEARCH("Query", C57)), "", IF(C57="AS AOP", LEFT(TEXT(Final!C57,"@"),2), TEXT(Final!C57,"@")))</f>
        <v/>
      </c>
    </row>
    <row r="58" spans="1:4" x14ac:dyDescent="0.25">
      <c r="A58" t="str">
        <f>IF(Final!A58="","",Final!A58)</f>
        <v/>
      </c>
      <c r="B58" t="str">
        <f t="shared" si="1"/>
        <v/>
      </c>
      <c r="C58" t="str">
        <f>TEXT(Final!B58,"@")</f>
        <v/>
      </c>
      <c r="D58" t="str">
        <f>IF(ISNUMBER(SEARCH("Query", C58)), "", IF(C58="AS AOP", LEFT(TEXT(Final!C58,"@"),2), TEXT(Final!C58,"@")))</f>
        <v/>
      </c>
    </row>
    <row r="59" spans="1:4" x14ac:dyDescent="0.25">
      <c r="A59" t="str">
        <f>IF(Final!A59="","",Final!A59)</f>
        <v/>
      </c>
      <c r="B59" t="str">
        <f t="shared" si="1"/>
        <v/>
      </c>
      <c r="C59" t="str">
        <f>TEXT(Final!B59,"@")</f>
        <v/>
      </c>
      <c r="D59" t="str">
        <f>IF(ISNUMBER(SEARCH("Query", C59)), "", IF(C59="AS AOP", LEFT(TEXT(Final!C59,"@"),2), TEXT(Final!C59,"@")))</f>
        <v/>
      </c>
    </row>
    <row r="60" spans="1:4" x14ac:dyDescent="0.25">
      <c r="A60" t="str">
        <f>IF(Final!A60="","",Final!A60)</f>
        <v/>
      </c>
      <c r="B60" t="str">
        <f t="shared" si="1"/>
        <v/>
      </c>
      <c r="C60" t="str">
        <f>TEXT(Final!B60,"@")</f>
        <v/>
      </c>
      <c r="D60" t="str">
        <f>IF(ISNUMBER(SEARCH("Query", C60)), "", IF(C60="AS AOP", LEFT(TEXT(Final!C60,"@"),2), TEXT(Final!C60,"@")))</f>
        <v/>
      </c>
    </row>
    <row r="61" spans="1:4" x14ac:dyDescent="0.25">
      <c r="A61" t="str">
        <f>IF(Final!A61="","",Final!A61)</f>
        <v/>
      </c>
      <c r="B61" t="str">
        <f t="shared" si="1"/>
        <v/>
      </c>
      <c r="C61" t="str">
        <f>TEXT(Final!B61,"@")</f>
        <v/>
      </c>
      <c r="D61" t="str">
        <f>IF(ISNUMBER(SEARCH("Query", C61)), "", IF(C61="AS AOP", LEFT(TEXT(Final!C61,"@"),2), TEXT(Final!C61,"@")))</f>
        <v/>
      </c>
    </row>
    <row r="62" spans="1:4" x14ac:dyDescent="0.25">
      <c r="A62" t="str">
        <f>IF(Final!A62="","",Final!A62)</f>
        <v/>
      </c>
      <c r="B62" t="str">
        <f t="shared" si="1"/>
        <v/>
      </c>
      <c r="C62" t="str">
        <f>TEXT(Final!B62,"@")</f>
        <v/>
      </c>
      <c r="D62" t="str">
        <f>IF(ISNUMBER(SEARCH("Query", C62)), "", IF(C62="AS AOP", LEFT(TEXT(Final!C62,"@"),2), TEXT(Final!C62,"@")))</f>
        <v/>
      </c>
    </row>
    <row r="63" spans="1:4" x14ac:dyDescent="0.25">
      <c r="A63" t="str">
        <f>IF(Final!A63="","",Final!A63)</f>
        <v/>
      </c>
      <c r="B63" t="str">
        <f t="shared" si="1"/>
        <v/>
      </c>
      <c r="C63" t="str">
        <f>TEXT(Final!B63,"@")</f>
        <v/>
      </c>
      <c r="D63" t="str">
        <f>IF(ISNUMBER(SEARCH("Query", C63)), "", IF(C63="AS AOP", LEFT(TEXT(Final!C63,"@"),2), TEXT(Final!C63,"@")))</f>
        <v/>
      </c>
    </row>
    <row r="64" spans="1:4" x14ac:dyDescent="0.25">
      <c r="A64" t="str">
        <f>IF(Final!A64="","",Final!A64)</f>
        <v/>
      </c>
      <c r="B64" t="str">
        <f t="shared" si="1"/>
        <v/>
      </c>
      <c r="C64" t="str">
        <f>TEXT(Final!B64,"@")</f>
        <v/>
      </c>
      <c r="D64" t="str">
        <f>IF(ISNUMBER(SEARCH("Query", C64)), "", IF(C64="AS AOP", LEFT(TEXT(Final!C64,"@"),2), TEXT(Final!C64,"@")))</f>
        <v/>
      </c>
    </row>
    <row r="65" spans="1:4" x14ac:dyDescent="0.25">
      <c r="A65" t="str">
        <f>IF(Final!A65="","",Final!A65)</f>
        <v/>
      </c>
      <c r="B65" t="str">
        <f t="shared" si="1"/>
        <v/>
      </c>
      <c r="C65" t="str">
        <f>TEXT(Final!B65,"@")</f>
        <v/>
      </c>
      <c r="D65" t="str">
        <f>IF(ISNUMBER(SEARCH("Query", C65)), "", IF(C65="AS AOP", LEFT(TEXT(Final!C65,"@"),2), TEXT(Final!C65,"@")))</f>
        <v/>
      </c>
    </row>
    <row r="66" spans="1:4" x14ac:dyDescent="0.25">
      <c r="A66" t="str">
        <f>IF(Final!A66="","",Final!A66)</f>
        <v/>
      </c>
      <c r="B66" t="str">
        <f t="shared" si="1"/>
        <v/>
      </c>
      <c r="C66" t="str">
        <f>TEXT(Final!B66,"@")</f>
        <v/>
      </c>
      <c r="D66" t="str">
        <f>IF(ISNUMBER(SEARCH("Query", C66)), "", IF(C66="AS AOP", LEFT(TEXT(Final!C66,"@"),2), TEXT(Final!C66,"@")))</f>
        <v/>
      </c>
    </row>
    <row r="67" spans="1:4" x14ac:dyDescent="0.25">
      <c r="A67" t="str">
        <f>IF(Final!A67="","",Final!A67)</f>
        <v/>
      </c>
      <c r="B67" t="str">
        <f t="shared" si="1"/>
        <v/>
      </c>
      <c r="C67" t="str">
        <f>TEXT(Final!B67,"@")</f>
        <v/>
      </c>
      <c r="D67" t="str">
        <f>IF(ISNUMBER(SEARCH("Query", C67)), "", IF(C67="AS AOP", LEFT(TEXT(Final!C67,"@"),2), TEXT(Final!C67,"@")))</f>
        <v/>
      </c>
    </row>
    <row r="68" spans="1:4" x14ac:dyDescent="0.25">
      <c r="A68" t="str">
        <f>IF(Final!A68="","",Final!A68)</f>
        <v/>
      </c>
      <c r="B68" t="str">
        <f t="shared" si="1"/>
        <v/>
      </c>
      <c r="C68" t="str">
        <f>TEXT(Final!B68,"@")</f>
        <v/>
      </c>
      <c r="D68" t="str">
        <f>IF(ISNUMBER(SEARCH("Query", C68)), "", IF(C68="AS AOP", LEFT(TEXT(Final!C68,"@"),2), TEXT(Final!C68,"@")))</f>
        <v/>
      </c>
    </row>
    <row r="69" spans="1:4" x14ac:dyDescent="0.25">
      <c r="A69" t="str">
        <f>IF(Final!A69="","",Final!A69)</f>
        <v/>
      </c>
      <c r="B69" t="str">
        <f t="shared" si="1"/>
        <v/>
      </c>
      <c r="C69" t="str">
        <f>TEXT(Final!B69,"@")</f>
        <v/>
      </c>
      <c r="D69" t="str">
        <f>IF(ISNUMBER(SEARCH("Query", C69)), "", IF(C69="AS AOP", LEFT(TEXT(Final!C69,"@"),2), TEXT(Final!C69,"@")))</f>
        <v/>
      </c>
    </row>
    <row r="70" spans="1:4" x14ac:dyDescent="0.25">
      <c r="A70" t="str">
        <f>IF(Final!A70="","",Final!A70)</f>
        <v/>
      </c>
      <c r="B70" t="str">
        <f t="shared" si="1"/>
        <v/>
      </c>
      <c r="C70" t="str">
        <f>TEXT(Final!B70,"@")</f>
        <v/>
      </c>
      <c r="D70" t="str">
        <f>IF(ISNUMBER(SEARCH("Query", C70)), "", IF(C70="AS AOP", LEFT(TEXT(Final!C70,"@"),2), TEXT(Final!C70,"@")))</f>
        <v/>
      </c>
    </row>
    <row r="71" spans="1:4" x14ac:dyDescent="0.25">
      <c r="A71" t="str">
        <f>IF(Final!A71="","",Final!A71)</f>
        <v/>
      </c>
      <c r="B71" t="str">
        <f t="shared" si="1"/>
        <v/>
      </c>
      <c r="C71" t="str">
        <f>TEXT(Final!B71,"@")</f>
        <v/>
      </c>
      <c r="D71" t="str">
        <f>IF(ISNUMBER(SEARCH("Query", C71)), "", IF(C71="AS AOP", LEFT(TEXT(Final!C71,"@"),2), TEXT(Final!C71,"@")))</f>
        <v/>
      </c>
    </row>
    <row r="72" spans="1:4" x14ac:dyDescent="0.25">
      <c r="A72" t="str">
        <f>IF(Final!A72="","",Final!A72)</f>
        <v/>
      </c>
      <c r="B72" t="str">
        <f t="shared" si="1"/>
        <v/>
      </c>
      <c r="C72" t="str">
        <f>TEXT(Final!B72,"@")</f>
        <v/>
      </c>
      <c r="D72" t="str">
        <f>IF(ISNUMBER(SEARCH("Query", C72)), "", IF(C72="AS AOP", LEFT(TEXT(Final!C72,"@"),2), TEXT(Final!C72,"@")))</f>
        <v/>
      </c>
    </row>
    <row r="73" spans="1:4" x14ac:dyDescent="0.25">
      <c r="A73" t="str">
        <f>IF(Final!A73="","",Final!A73)</f>
        <v/>
      </c>
      <c r="B73" t="str">
        <f t="shared" si="1"/>
        <v/>
      </c>
      <c r="C73" t="str">
        <f>TEXT(Final!B73,"@")</f>
        <v/>
      </c>
      <c r="D73" t="str">
        <f>IF(ISNUMBER(SEARCH("Query", C73)), "", IF(C73="AS AOP", LEFT(TEXT(Final!C73,"@"),2), TEXT(Final!C73,"@")))</f>
        <v/>
      </c>
    </row>
    <row r="74" spans="1:4" x14ac:dyDescent="0.25">
      <c r="A74" t="str">
        <f>IF(Final!A74="","",Final!A74)</f>
        <v/>
      </c>
      <c r="B74" t="str">
        <f t="shared" si="1"/>
        <v/>
      </c>
      <c r="C74" t="str">
        <f>TEXT(Final!B74,"@")</f>
        <v/>
      </c>
      <c r="D74" t="str">
        <f>IF(ISNUMBER(SEARCH("Query", C74)), "", IF(C74="AS AOP", LEFT(TEXT(Final!C74,"@"),2), TEXT(Final!C74,"@")))</f>
        <v/>
      </c>
    </row>
    <row r="75" spans="1:4" x14ac:dyDescent="0.25">
      <c r="A75" t="str">
        <f>IF(Final!A75="","",Final!A75)</f>
        <v/>
      </c>
      <c r="B75" t="str">
        <f t="shared" si="1"/>
        <v/>
      </c>
      <c r="C75" t="str">
        <f>TEXT(Final!B75,"@")</f>
        <v/>
      </c>
      <c r="D75" t="str">
        <f>IF(ISNUMBER(SEARCH("Query", C75)), "", IF(C75="AS AOP", LEFT(TEXT(Final!C75,"@"),2), TEXT(Final!C75,"@")))</f>
        <v/>
      </c>
    </row>
    <row r="76" spans="1:4" x14ac:dyDescent="0.25">
      <c r="A76" t="str">
        <f>IF(Final!A76="","",Final!A76)</f>
        <v/>
      </c>
      <c r="B76" t="str">
        <f t="shared" si="1"/>
        <v/>
      </c>
      <c r="C76" t="str">
        <f>TEXT(Final!B76,"@")</f>
        <v/>
      </c>
      <c r="D76" t="str">
        <f>IF(ISNUMBER(SEARCH("Query", C76)), "", IF(C76="AS AOP", LEFT(TEXT(Final!C76,"@"),2), TEXT(Final!C76,"@")))</f>
        <v/>
      </c>
    </row>
    <row r="77" spans="1:4" x14ac:dyDescent="0.25">
      <c r="A77" t="str">
        <f>IF(Final!A77="","",Final!A77)</f>
        <v/>
      </c>
      <c r="B77" t="str">
        <f t="shared" si="1"/>
        <v/>
      </c>
      <c r="C77" t="str">
        <f>TEXT(Final!B77,"@")</f>
        <v/>
      </c>
      <c r="D77" t="str">
        <f>IF(ISNUMBER(SEARCH("Query", C77)), "", IF(C77="AS AOP", LEFT(TEXT(Final!C77,"@"),2), TEXT(Final!C77,"@")))</f>
        <v/>
      </c>
    </row>
    <row r="78" spans="1:4" x14ac:dyDescent="0.25">
      <c r="A78" t="str">
        <f>IF(Final!A78="","",Final!A78)</f>
        <v/>
      </c>
      <c r="B78" t="str">
        <f t="shared" si="1"/>
        <v/>
      </c>
      <c r="C78" t="str">
        <f>TEXT(Final!B78,"@")</f>
        <v/>
      </c>
      <c r="D78" t="str">
        <f>IF(ISNUMBER(SEARCH("Query", C78)), "", IF(C78="AS AOP", LEFT(TEXT(Final!C78,"@"),2), TEXT(Final!C78,"@")))</f>
        <v/>
      </c>
    </row>
    <row r="79" spans="1:4" x14ac:dyDescent="0.25">
      <c r="A79" t="str">
        <f>IF(Final!A79="","",Final!A79)</f>
        <v/>
      </c>
      <c r="B79" t="str">
        <f t="shared" si="1"/>
        <v/>
      </c>
      <c r="C79" t="str">
        <f>TEXT(Final!B79,"@")</f>
        <v/>
      </c>
      <c r="D79" t="str">
        <f>IF(ISNUMBER(SEARCH("Query", C79)), "", IF(C79="AS AOP", LEFT(TEXT(Final!C79,"@"),2), TEXT(Final!C79,"@")))</f>
        <v/>
      </c>
    </row>
    <row r="80" spans="1:4" x14ac:dyDescent="0.25">
      <c r="A80" t="str">
        <f>IF(Final!A80="","",Final!A80)</f>
        <v/>
      </c>
      <c r="B80" t="str">
        <f t="shared" si="1"/>
        <v/>
      </c>
      <c r="C80" t="str">
        <f>TEXT(Final!B80,"@")</f>
        <v/>
      </c>
      <c r="D80" t="str">
        <f>IF(ISNUMBER(SEARCH("Query", C80)), "", IF(C80="AS AOP", LEFT(TEXT(Final!C80,"@"),2), TEXT(Final!C80,"@")))</f>
        <v/>
      </c>
    </row>
    <row r="81" spans="1:4" x14ac:dyDescent="0.25">
      <c r="A81" t="str">
        <f>IF(Final!A81="","",Final!A81)</f>
        <v/>
      </c>
      <c r="B81" t="str">
        <f t="shared" si="1"/>
        <v/>
      </c>
      <c r="C81" t="str">
        <f>TEXT(Final!B81,"@")</f>
        <v/>
      </c>
      <c r="D81" t="str">
        <f>IF(ISNUMBER(SEARCH("Query", C81)), "", IF(C81="AS AOP", LEFT(TEXT(Final!C81,"@"),2), TEXT(Final!C81,"@")))</f>
        <v/>
      </c>
    </row>
    <row r="82" spans="1:4" x14ac:dyDescent="0.25">
      <c r="A82" t="str">
        <f>IF(Final!A82="","",Final!A82)</f>
        <v/>
      </c>
      <c r="B82" t="str">
        <f t="shared" si="1"/>
        <v/>
      </c>
      <c r="C82" t="str">
        <f>TEXT(Final!B82,"@")</f>
        <v/>
      </c>
      <c r="D82" t="str">
        <f>IF(ISNUMBER(SEARCH("Query", C82)), "", IF(C82="AS AOP", LEFT(TEXT(Final!C82,"@"),2), TEXT(Final!C82,"@")))</f>
        <v/>
      </c>
    </row>
    <row r="83" spans="1:4" x14ac:dyDescent="0.25">
      <c r="A83" t="str">
        <f>IF(Final!A83="","",Final!A83)</f>
        <v/>
      </c>
      <c r="B83" t="str">
        <f t="shared" si="1"/>
        <v/>
      </c>
      <c r="C83" t="str">
        <f>TEXT(Final!B83,"@")</f>
        <v/>
      </c>
      <c r="D83" t="str">
        <f>IF(ISNUMBER(SEARCH("Query", C83)), "", IF(C83="AS AOP", LEFT(TEXT(Final!C83,"@"),2), TEXT(Final!C83,"@")))</f>
        <v/>
      </c>
    </row>
  </sheetData>
  <phoneticPr fontId="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PlantList</vt:lpstr>
      <vt:lpstr>Plant_Branch</vt:lpstr>
      <vt:lpstr>UserNotFound</vt:lpstr>
      <vt:lpstr>Test</vt:lpstr>
      <vt:lpstr>Sheet1</vt:lpstr>
      <vt:lpstr>Final</vt:lpstr>
      <vt:lpstr>Plant</vt:lpstr>
      <vt:lpstr>Paste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Skorn Chiamcharoenvut (ศกร เจียมเจริญวุฒิ)</dc:creator>
  <cp:lastModifiedBy>Skorn Chiamcharoenvut (ศกร เจียมเจริญวุฒิ)</cp:lastModifiedBy>
  <dcterms:created xsi:type="dcterms:W3CDTF">2023-02-01T08:39:20Z</dcterms:created>
  <dcterms:modified xsi:type="dcterms:W3CDTF">2023-03-27T07:15:44Z</dcterms:modified>
</cp:coreProperties>
</file>